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r Daily Food\AppData\Local\Microsoft\Windows\INetCache\Content.Outlook\BMQK1D4M\"/>
    </mc:Choice>
  </mc:AlternateContent>
  <xr:revisionPtr revIDLastSave="0" documentId="13_ncr:1_{260D60C2-0284-4D07-8E54-F48E44DD62E4}" xr6:coauthVersionLast="47" xr6:coauthVersionMax="47" xr10:uidLastSave="{00000000-0000-0000-0000-000000000000}"/>
  <bookViews>
    <workbookView xWindow="-110" yWindow="-110" windowWidth="19420" windowHeight="10420" xr2:uid="{D4CB1B52-AE74-4C7E-A724-BCFFDFEBA5B3}"/>
  </bookViews>
  <sheets>
    <sheet name="Salary June 2025 (5)" sheetId="1" r:id="rId1"/>
  </sheets>
  <externalReferences>
    <externalReference r:id="rId2"/>
  </externalReferences>
  <definedNames>
    <definedName name="_xlnm.Print_Area" localSheetId="0">'Salary June 2025 (5)'!$A$1:$AA$38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4" i="1" l="1"/>
  <c r="V34" i="1"/>
  <c r="U34" i="1"/>
  <c r="T34" i="1"/>
  <c r="O34" i="1"/>
  <c r="N34" i="1"/>
  <c r="L34" i="1"/>
  <c r="K34" i="1"/>
  <c r="I34" i="1"/>
  <c r="H34" i="1"/>
  <c r="G34" i="1"/>
  <c r="F34" i="1"/>
  <c r="E34" i="1"/>
  <c r="X33" i="1"/>
  <c r="Y33" i="1" s="1"/>
  <c r="Y32" i="1"/>
  <c r="X32" i="1"/>
  <c r="X31" i="1"/>
  <c r="Y31" i="1" s="1"/>
  <c r="X30" i="1"/>
  <c r="Y30" i="1" s="1"/>
  <c r="X29" i="1"/>
  <c r="Y29" i="1" s="1"/>
  <c r="Y27" i="1"/>
  <c r="X27" i="1"/>
  <c r="J27" i="1"/>
  <c r="M26" i="1"/>
  <c r="P26" i="1" s="1"/>
  <c r="Q26" i="1" s="1"/>
  <c r="J26" i="1"/>
  <c r="W25" i="1"/>
  <c r="X25" i="1" s="1"/>
  <c r="P25" i="1"/>
  <c r="Q25" i="1" s="1"/>
  <c r="O25" i="1"/>
  <c r="M25" i="1"/>
  <c r="J25" i="1"/>
  <c r="AA25" i="1" s="1"/>
  <c r="X24" i="1"/>
  <c r="M24" i="1"/>
  <c r="P24" i="1" s="1"/>
  <c r="Q24" i="1" s="1"/>
  <c r="Y24" i="1" s="1"/>
  <c r="J24" i="1"/>
  <c r="Z23" i="1"/>
  <c r="W23" i="1"/>
  <c r="X23" i="1" s="1"/>
  <c r="P23" i="1"/>
  <c r="Q23" i="1" s="1"/>
  <c r="Y23" i="1" s="1"/>
  <c r="M23" i="1"/>
  <c r="J23" i="1"/>
  <c r="AA23" i="1" s="1"/>
  <c r="W22" i="1"/>
  <c r="X22" i="1" s="1"/>
  <c r="M22" i="1"/>
  <c r="P22" i="1" s="1"/>
  <c r="Q22" i="1" s="1"/>
  <c r="J22" i="1"/>
  <c r="AA22" i="1" s="1"/>
  <c r="AD20" i="1"/>
  <c r="R20" i="1"/>
  <c r="X20" i="1" s="1"/>
  <c r="Y20" i="1" s="1"/>
  <c r="X19" i="1"/>
  <c r="M19" i="1"/>
  <c r="K19" i="1"/>
  <c r="P19" i="1" s="1"/>
  <c r="J19" i="1"/>
  <c r="Q19" i="1" s="1"/>
  <c r="Y19" i="1" s="1"/>
  <c r="X18" i="1"/>
  <c r="P18" i="1"/>
  <c r="J18" i="1"/>
  <c r="Q18" i="1" s="1"/>
  <c r="Y18" i="1" s="1"/>
  <c r="Z17" i="1"/>
  <c r="X17" i="1"/>
  <c r="Y17" i="1" s="1"/>
  <c r="P17" i="1"/>
  <c r="J17" i="1"/>
  <c r="AA17" i="1" s="1"/>
  <c r="X16" i="1"/>
  <c r="M16" i="1"/>
  <c r="P16" i="1" s="1"/>
  <c r="J16" i="1"/>
  <c r="Q16" i="1" s="1"/>
  <c r="Y16" i="1" s="1"/>
  <c r="X15" i="1"/>
  <c r="M15" i="1"/>
  <c r="L15" i="1"/>
  <c r="P15" i="1" s="1"/>
  <c r="J15" i="1"/>
  <c r="Z14" i="1"/>
  <c r="M14" i="1"/>
  <c r="P14" i="1" s="1"/>
  <c r="J14" i="1"/>
  <c r="W14" i="1" s="1"/>
  <c r="X14" i="1" s="1"/>
  <c r="M13" i="1"/>
  <c r="P13" i="1" s="1"/>
  <c r="J13" i="1"/>
  <c r="Z13" i="1" s="1"/>
  <c r="X12" i="1"/>
  <c r="M12" i="1"/>
  <c r="P12" i="1" s="1"/>
  <c r="J12" i="1"/>
  <c r="AA11" i="1"/>
  <c r="Z11" i="1"/>
  <c r="P11" i="1"/>
  <c r="J11" i="1"/>
  <c r="W11" i="1" s="1"/>
  <c r="X11" i="1" s="1"/>
  <c r="Z10" i="1"/>
  <c r="S10" i="1"/>
  <c r="P10" i="1"/>
  <c r="J10" i="1"/>
  <c r="W10" i="1" s="1"/>
  <c r="X10" i="1" s="1"/>
  <c r="S9" i="1"/>
  <c r="P9" i="1"/>
  <c r="J9" i="1"/>
  <c r="Z9" i="1" s="1"/>
  <c r="W8" i="1"/>
  <c r="X8" i="1" s="1"/>
  <c r="S8" i="1"/>
  <c r="S34" i="1" s="1"/>
  <c r="P8" i="1"/>
  <c r="M8" i="1"/>
  <c r="J8" i="1"/>
  <c r="AA8" i="1" s="1"/>
  <c r="AE6" i="1"/>
  <c r="AE5" i="1"/>
  <c r="Y22" i="1" l="1"/>
  <c r="R26" i="1"/>
  <c r="Q12" i="1"/>
  <c r="Y12" i="1" s="1"/>
  <c r="Q15" i="1"/>
  <c r="Y15" i="1" s="1"/>
  <c r="P34" i="1"/>
  <c r="Y25" i="1"/>
  <c r="AA10" i="1"/>
  <c r="AA14" i="1"/>
  <c r="Q9" i="1"/>
  <c r="Q10" i="1"/>
  <c r="Y10" i="1" s="1"/>
  <c r="Q13" i="1"/>
  <c r="M34" i="1"/>
  <c r="W9" i="1"/>
  <c r="Q11" i="1"/>
  <c r="Y11" i="1" s="1"/>
  <c r="W13" i="1"/>
  <c r="X13" i="1" s="1"/>
  <c r="Q14" i="1"/>
  <c r="Y14" i="1" s="1"/>
  <c r="Z22" i="1"/>
  <c r="AA9" i="1"/>
  <c r="AA34" i="1" s="1"/>
  <c r="AA13" i="1"/>
  <c r="J34" i="1"/>
  <c r="Q8" i="1"/>
  <c r="Z25" i="1"/>
  <c r="Z8" i="1"/>
  <c r="Z34" i="1" s="1"/>
  <c r="Q34" i="1" l="1"/>
  <c r="Y8" i="1"/>
  <c r="X9" i="1"/>
  <c r="X34" i="1" s="1"/>
  <c r="W34" i="1"/>
  <c r="Y13" i="1"/>
  <c r="X26" i="1"/>
  <c r="Y26" i="1" s="1"/>
  <c r="R34" i="1"/>
  <c r="Y9" i="1" l="1"/>
  <c r="Y34" i="1" s="1"/>
</calcChain>
</file>

<file path=xl/sharedStrings.xml><?xml version="1.0" encoding="utf-8"?>
<sst xmlns="http://schemas.openxmlformats.org/spreadsheetml/2006/main" count="100" uniqueCount="91">
  <si>
    <t>YOUR DAILY FOOD (PVT)LTD.</t>
  </si>
  <si>
    <t>Salaries Payroll</t>
  </si>
  <si>
    <t>Additions</t>
  </si>
  <si>
    <t>Deductions</t>
  </si>
  <si>
    <t>Company Contribution</t>
  </si>
  <si>
    <t>EMP No</t>
  </si>
  <si>
    <t>Name</t>
  </si>
  <si>
    <t>Appointment Date</t>
  </si>
  <si>
    <t>Designation</t>
  </si>
  <si>
    <t xml:space="preserve">Basic Salary </t>
  </si>
  <si>
    <t>BR</t>
  </si>
  <si>
    <t>No Pay</t>
  </si>
  <si>
    <t>EPF Liable</t>
  </si>
  <si>
    <t>Normal OT</t>
  </si>
  <si>
    <t xml:space="preserve">  Attendance/Production Incentive</t>
  </si>
  <si>
    <t>Variable Performance Incentive</t>
  </si>
  <si>
    <t xml:space="preserve"> Medical Incentive</t>
  </si>
  <si>
    <t xml:space="preserve"> Travelling Incentive</t>
  </si>
  <si>
    <t>Total Incentives</t>
  </si>
  <si>
    <t>Gross Salary</t>
  </si>
  <si>
    <t>Other Deduction</t>
  </si>
  <si>
    <t xml:space="preserve">Personal Loan </t>
  </si>
  <si>
    <t>Salary Advance</t>
  </si>
  <si>
    <t>APIT (PAYE) Tax</t>
  </si>
  <si>
    <t>EPF 8%</t>
  </si>
  <si>
    <t>Total Deduction</t>
  </si>
  <si>
    <t>Net Salary</t>
  </si>
  <si>
    <t>EPF 12%</t>
  </si>
  <si>
    <t>ETF 3%</t>
  </si>
  <si>
    <t>total Deduction</t>
  </si>
  <si>
    <t>Allowance 1</t>
  </si>
  <si>
    <t>Allowance 2</t>
  </si>
  <si>
    <t>Salary</t>
  </si>
  <si>
    <t xml:space="preserve">Administrations Staff </t>
  </si>
  <si>
    <t>Ms. W Layoma S Perera</t>
  </si>
  <si>
    <t xml:space="preserve"> Director</t>
  </si>
  <si>
    <t>Mr. M F M Janeef</t>
  </si>
  <si>
    <t>Ms. L Uthpala Madubhashani</t>
  </si>
  <si>
    <t>Head of HR and Administration</t>
  </si>
  <si>
    <t>Ms. L H Yashoda Udayangani</t>
  </si>
  <si>
    <t>Head of Account</t>
  </si>
  <si>
    <t>Mr. H K Isuru Dulanjaya</t>
  </si>
  <si>
    <t>Head of Finance</t>
  </si>
  <si>
    <t>Ms. N H Rasheeda Fathima</t>
  </si>
  <si>
    <t xml:space="preserve">Lead : Digital Marketing and Web Development </t>
  </si>
  <si>
    <t>Mr. L J Shashintha Perera</t>
  </si>
  <si>
    <t>Head of Sales and Marketing</t>
  </si>
  <si>
    <t>Ms.A P S Sithumini Thilakawardena</t>
  </si>
  <si>
    <t>System Developer  ( Probation )</t>
  </si>
  <si>
    <t>Mr.U.Sheshan T Vishwajith</t>
  </si>
  <si>
    <t>Sales &amp; Marketing Marketing  ( Probations )</t>
  </si>
  <si>
    <t>T - 03</t>
  </si>
  <si>
    <t>Mr. Krishan Suresh</t>
  </si>
  <si>
    <t>Intern Trainee (Sales and Marketing)</t>
  </si>
  <si>
    <t>N-01</t>
  </si>
  <si>
    <t>Ms. Ayesha Lakshani Rathnayake</t>
  </si>
  <si>
    <t>Sales &amp; Marketing Marketing  ( Probations ) -FGS</t>
  </si>
  <si>
    <t>N-02</t>
  </si>
  <si>
    <t>Ms.Sachini Sewwandi Ranathunge</t>
  </si>
  <si>
    <t xml:space="preserve">Operational Executive </t>
  </si>
  <si>
    <t>N-03</t>
  </si>
  <si>
    <t xml:space="preserve">Mr. Oshen Kaveesha </t>
  </si>
  <si>
    <t>Intern Trainee - System Developing</t>
  </si>
  <si>
    <t>Productions Staff</t>
  </si>
  <si>
    <t>Mr. A J M Rikas</t>
  </si>
  <si>
    <t>Production Manager</t>
  </si>
  <si>
    <t>Mr. Thilanka Damith</t>
  </si>
  <si>
    <t xml:space="preserve">Senior Production Executive </t>
  </si>
  <si>
    <t>Ms. H Mihiri V Bnadara</t>
  </si>
  <si>
    <t>Production Executive ( Probation )</t>
  </si>
  <si>
    <t>Ms. Duhani Chandrasiri</t>
  </si>
  <si>
    <t xml:space="preserve">Production Executive </t>
  </si>
  <si>
    <t>N-04</t>
  </si>
  <si>
    <t>Ms. Anuradha Liyanage</t>
  </si>
  <si>
    <t>Quality Assurance Executive  ( Probation )</t>
  </si>
  <si>
    <t>Mr.Dileka Shehan</t>
  </si>
  <si>
    <t>Intern Trainee ( Quality Assurance )</t>
  </si>
  <si>
    <t xml:space="preserve">Parttime Workers </t>
  </si>
  <si>
    <t>Con-01</t>
  </si>
  <si>
    <t>Mr. P M D Fernando ( Mahesh )</t>
  </si>
  <si>
    <t>Parttime Workings</t>
  </si>
  <si>
    <t>Con-02</t>
  </si>
  <si>
    <t>Mr. M I Ahamed Fayas</t>
  </si>
  <si>
    <t>Con-03</t>
  </si>
  <si>
    <t>Mr. K L Mohamed Hiras</t>
  </si>
  <si>
    <t>Con-04</t>
  </si>
  <si>
    <t xml:space="preserve">Mr. A A Ansaf Ahamed </t>
  </si>
  <si>
    <t>Con-05</t>
  </si>
  <si>
    <t>Mr. K M M Fazy</t>
  </si>
  <si>
    <t>Prepared By:-……………………………….</t>
  </si>
  <si>
    <t>Authorized By:-………………………………………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</si>
</sst>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mmm\-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Book Antiqua"/>
      <family val="1"/>
    </font>
    <font>
      <b/>
      <sz val="11"/>
      <name val="Book Antiqua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u/>
      <sz val="11"/>
      <color theme="1"/>
      <name val="Book Antiqua"/>
      <family val="1"/>
    </font>
    <font>
      <b/>
      <u/>
      <sz val="10"/>
      <color theme="1"/>
      <name val="Book Antiqua"/>
      <family val="1"/>
    </font>
    <font>
      <b/>
      <sz val="10"/>
      <name val="Book Antiqua"/>
      <family val="1"/>
    </font>
    <font>
      <b/>
      <sz val="10"/>
      <color theme="1"/>
      <name val="Book Antiqua"/>
      <family val="1"/>
    </font>
    <font>
      <sz val="9"/>
      <name val="Book Antiqua"/>
      <family val="1"/>
    </font>
    <font>
      <sz val="10"/>
      <name val="Book Antiqua"/>
      <family val="1"/>
    </font>
    <font>
      <sz val="10"/>
      <color theme="1"/>
      <name val="Book Antiqua"/>
      <family val="1"/>
    </font>
    <font>
      <b/>
      <u/>
      <sz val="10"/>
      <name val="Calibri Light"/>
      <family val="1"/>
      <scheme val="major"/>
    </font>
    <font>
      <b/>
      <sz val="9"/>
      <name val="Book Antiqua"/>
      <family val="1"/>
    </font>
    <font>
      <sz val="10"/>
      <name val="Arial"/>
      <family val="2"/>
    </font>
    <font>
      <b/>
      <sz val="8"/>
      <name val="Book Antiqua"/>
      <family val="1"/>
    </font>
    <font>
      <sz val="9"/>
      <color theme="1"/>
      <name val="Book Antiqua"/>
      <family val="1"/>
    </font>
    <font>
      <b/>
      <sz val="9"/>
      <color theme="1"/>
      <name val="Book Antiqua"/>
      <family val="1"/>
    </font>
    <font>
      <b/>
      <i/>
      <sz val="11"/>
      <color theme="1"/>
      <name val="Baskerville Old Face"/>
      <family val="1"/>
    </font>
    <font>
      <b/>
      <i/>
      <sz val="11"/>
      <name val="Baskerville Old Face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/>
  </cellStyleXfs>
  <cellXfs count="179">
    <xf numFmtId="0" fontId="0" fillId="0" borderId="0" xfId="0"/>
    <xf numFmtId="0" fontId="3" fillId="2" borderId="0" xfId="0" applyFont="1" applyFill="1" applyAlignment="1">
      <alignment horizontal="center"/>
    </xf>
    <xf numFmtId="0" fontId="4" fillId="2" borderId="0" xfId="0" applyFont="1" applyFill="1"/>
    <xf numFmtId="164" fontId="5" fillId="2" borderId="0" xfId="1" applyNumberFormat="1" applyFont="1" applyFill="1" applyBorder="1"/>
    <xf numFmtId="43" fontId="5" fillId="2" borderId="0" xfId="1" applyFont="1" applyFill="1" applyBorder="1" applyAlignment="1"/>
    <xf numFmtId="0" fontId="5" fillId="2" borderId="0" xfId="0" applyFont="1" applyFill="1"/>
    <xf numFmtId="43" fontId="5" fillId="2" borderId="0" xfId="1" applyFont="1" applyFill="1" applyBorder="1"/>
    <xf numFmtId="164" fontId="6" fillId="2" borderId="0" xfId="1" applyNumberFormat="1" applyFont="1" applyFill="1" applyBorder="1"/>
    <xf numFmtId="43" fontId="6" fillId="2" borderId="0" xfId="1" applyFont="1" applyFill="1" applyBorder="1" applyAlignment="1"/>
    <xf numFmtId="0" fontId="6" fillId="2" borderId="0" xfId="0" applyFont="1" applyFill="1"/>
    <xf numFmtId="43" fontId="6" fillId="2" borderId="0" xfId="1" applyFont="1" applyFill="1" applyBorder="1"/>
    <xf numFmtId="165" fontId="7" fillId="2" borderId="0" xfId="0" quotePrefix="1" applyNumberFormat="1" applyFont="1" applyFill="1" applyAlignment="1">
      <alignment horizontal="center"/>
    </xf>
    <xf numFmtId="17" fontId="6" fillId="2" borderId="0" xfId="0" quotePrefix="1" applyNumberFormat="1" applyFont="1" applyFill="1"/>
    <xf numFmtId="0" fontId="8" fillId="2" borderId="0" xfId="0" applyFont="1" applyFill="1" applyAlignment="1">
      <alignment horizontal="center"/>
    </xf>
    <xf numFmtId="17" fontId="9" fillId="2" borderId="0" xfId="0" applyNumberFormat="1" applyFont="1" applyFill="1"/>
    <xf numFmtId="164" fontId="10" fillId="2" borderId="0" xfId="1" applyNumberFormat="1" applyFont="1" applyFill="1" applyBorder="1"/>
    <xf numFmtId="43" fontId="10" fillId="2" borderId="0" xfId="1" applyFont="1" applyFill="1" applyBorder="1" applyAlignment="1"/>
    <xf numFmtId="164" fontId="10" fillId="2" borderId="0" xfId="1" applyNumberFormat="1" applyFont="1" applyFill="1" applyBorder="1" applyAlignment="1"/>
    <xf numFmtId="164" fontId="10" fillId="2" borderId="0" xfId="1" applyNumberFormat="1" applyFont="1" applyFill="1" applyBorder="1" applyAlignment="1">
      <alignment horizontal="center"/>
    </xf>
    <xf numFmtId="0" fontId="10" fillId="2" borderId="0" xfId="0" applyFont="1" applyFill="1"/>
    <xf numFmtId="43" fontId="10" fillId="2" borderId="0" xfId="1" applyFont="1" applyFill="1" applyBorder="1"/>
    <xf numFmtId="43" fontId="12" fillId="3" borderId="11" xfId="2" applyNumberFormat="1" applyFont="1" applyFill="1" applyBorder="1" applyAlignment="1">
      <alignment horizontal="center" vertical="center"/>
    </xf>
    <xf numFmtId="43" fontId="12" fillId="3" borderId="13" xfId="2" applyNumberFormat="1" applyFont="1" applyFill="1" applyBorder="1" applyAlignment="1">
      <alignment horizontal="center" vertical="center"/>
    </xf>
    <xf numFmtId="43" fontId="12" fillId="3" borderId="14" xfId="2" applyNumberFormat="1" applyFont="1" applyFill="1" applyBorder="1" applyAlignment="1">
      <alignment horizontal="center" vertical="center"/>
    </xf>
    <xf numFmtId="43" fontId="12" fillId="6" borderId="11" xfId="1" applyFont="1" applyFill="1" applyBorder="1" applyAlignment="1">
      <alignment horizontal="center" vertical="center"/>
    </xf>
    <xf numFmtId="43" fontId="12" fillId="0" borderId="0" xfId="2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3" fontId="13" fillId="0" borderId="11" xfId="0" applyNumberFormat="1" applyFont="1" applyBorder="1" applyAlignment="1">
      <alignment horizontal="center" vertical="center"/>
    </xf>
    <xf numFmtId="43" fontId="13" fillId="0" borderId="18" xfId="1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43" fontId="12" fillId="3" borderId="20" xfId="2" applyNumberFormat="1" applyFont="1" applyFill="1" applyBorder="1" applyAlignment="1">
      <alignment horizontal="center" vertical="center"/>
    </xf>
    <xf numFmtId="43" fontId="12" fillId="3" borderId="0" xfId="2" applyNumberFormat="1" applyFont="1" applyFill="1" applyBorder="1" applyAlignment="1">
      <alignment horizontal="center" vertical="center"/>
    </xf>
    <xf numFmtId="43" fontId="12" fillId="6" borderId="17" xfId="1" applyFont="1" applyFill="1" applyBorder="1" applyAlignment="1">
      <alignment horizontal="center" vertical="center"/>
    </xf>
    <xf numFmtId="43" fontId="13" fillId="0" borderId="13" xfId="1" applyFont="1" applyFill="1" applyBorder="1" applyAlignment="1">
      <alignment horizontal="center" vertical="center"/>
    </xf>
    <xf numFmtId="43" fontId="13" fillId="0" borderId="11" xfId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18" xfId="0" applyFont="1" applyBorder="1" applyAlignment="1">
      <alignment horizontal="center" vertical="center" textRotation="45"/>
    </xf>
    <xf numFmtId="0" fontId="14" fillId="0" borderId="1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43" fontId="12" fillId="0" borderId="18" xfId="2" applyNumberFormat="1" applyFont="1" applyFill="1" applyBorder="1" applyAlignment="1">
      <alignment horizontal="center" vertical="center"/>
    </xf>
    <xf numFmtId="43" fontId="12" fillId="0" borderId="18" xfId="1" applyFont="1" applyFill="1" applyBorder="1" applyAlignment="1">
      <alignment horizontal="center" vertical="center" wrapText="1"/>
    </xf>
    <xf numFmtId="43" fontId="12" fillId="0" borderId="18" xfId="1" applyFont="1" applyFill="1" applyBorder="1" applyAlignment="1">
      <alignment horizontal="center" vertical="center"/>
    </xf>
    <xf numFmtId="43" fontId="12" fillId="0" borderId="18" xfId="2" applyNumberFormat="1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43" fontId="13" fillId="0" borderId="18" xfId="0" applyNumberFormat="1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1" fillId="11" borderId="15" xfId="0" quotePrefix="1" applyFont="1" applyFill="1" applyBorder="1" applyAlignment="1">
      <alignment horizontal="center"/>
    </xf>
    <xf numFmtId="0" fontId="15" fillId="4" borderId="15" xfId="0" applyFont="1" applyFill="1" applyBorder="1"/>
    <xf numFmtId="0" fontId="15" fillId="0" borderId="15" xfId="0" applyFont="1" applyBorder="1"/>
    <xf numFmtId="0" fontId="15" fillId="5" borderId="15" xfId="0" applyFont="1" applyFill="1" applyBorder="1" applyAlignment="1">
      <alignment horizontal="left" wrapText="1"/>
    </xf>
    <xf numFmtId="164" fontId="11" fillId="2" borderId="15" xfId="1" applyNumberFormat="1" applyFont="1" applyFill="1" applyBorder="1" applyAlignment="1"/>
    <xf numFmtId="164" fontId="11" fillId="0" borderId="15" xfId="1" applyNumberFormat="1" applyFont="1" applyFill="1" applyBorder="1" applyAlignment="1"/>
    <xf numFmtId="43" fontId="11" fillId="0" borderId="15" xfId="1" applyFont="1" applyFill="1" applyBorder="1" applyAlignment="1"/>
    <xf numFmtId="43" fontId="11" fillId="6" borderId="15" xfId="1" applyFont="1" applyFill="1" applyBorder="1" applyAlignment="1"/>
    <xf numFmtId="43" fontId="11" fillId="2" borderId="15" xfId="1" applyFont="1" applyFill="1" applyBorder="1" applyAlignment="1"/>
    <xf numFmtId="164" fontId="11" fillId="2" borderId="15" xfId="1" applyNumberFormat="1" applyFont="1" applyFill="1" applyBorder="1"/>
    <xf numFmtId="164" fontId="11" fillId="7" borderId="15" xfId="1" applyNumberFormat="1" applyFont="1" applyFill="1" applyBorder="1" applyAlignment="1"/>
    <xf numFmtId="164" fontId="15" fillId="8" borderId="15" xfId="1" applyNumberFormat="1" applyFont="1" applyFill="1" applyBorder="1" applyAlignment="1"/>
    <xf numFmtId="164" fontId="15" fillId="9" borderId="15" xfId="1" applyNumberFormat="1" applyFont="1" applyFill="1" applyBorder="1" applyAlignment="1"/>
    <xf numFmtId="164" fontId="15" fillId="10" borderId="15" xfId="1" applyNumberFormat="1" applyFont="1" applyFill="1" applyBorder="1" applyAlignment="1"/>
    <xf numFmtId="164" fontId="15" fillId="0" borderId="15" xfId="1" applyNumberFormat="1" applyFont="1" applyFill="1" applyBorder="1" applyAlignment="1"/>
    <xf numFmtId="164" fontId="11" fillId="0" borderId="0" xfId="1" applyNumberFormat="1" applyFont="1" applyFill="1" applyBorder="1" applyAlignment="1"/>
    <xf numFmtId="0" fontId="11" fillId="0" borderId="0" xfId="0" applyFont="1"/>
    <xf numFmtId="0" fontId="11" fillId="0" borderId="15" xfId="0" applyFont="1" applyBorder="1"/>
    <xf numFmtId="0" fontId="15" fillId="4" borderId="18" xfId="0" applyFont="1" applyFill="1" applyBorder="1"/>
    <xf numFmtId="0" fontId="15" fillId="0" borderId="18" xfId="0" applyFont="1" applyBorder="1"/>
    <xf numFmtId="0" fontId="15" fillId="5" borderId="18" xfId="0" applyFont="1" applyFill="1" applyBorder="1" applyAlignment="1">
      <alignment horizontal="left" wrapText="1"/>
    </xf>
    <xf numFmtId="164" fontId="11" fillId="2" borderId="18" xfId="1" applyNumberFormat="1" applyFont="1" applyFill="1" applyBorder="1" applyAlignment="1"/>
    <xf numFmtId="164" fontId="11" fillId="0" borderId="18" xfId="1" applyNumberFormat="1" applyFont="1" applyFill="1" applyBorder="1" applyAlignment="1"/>
    <xf numFmtId="43" fontId="11" fillId="0" borderId="18" xfId="1" applyFont="1" applyFill="1" applyBorder="1" applyAlignment="1"/>
    <xf numFmtId="43" fontId="11" fillId="6" borderId="18" xfId="1" applyFont="1" applyFill="1" applyBorder="1" applyAlignment="1"/>
    <xf numFmtId="43" fontId="11" fillId="2" borderId="18" xfId="1" applyFont="1" applyFill="1" applyBorder="1" applyAlignment="1"/>
    <xf numFmtId="164" fontId="11" fillId="2" borderId="18" xfId="1" applyNumberFormat="1" applyFont="1" applyFill="1" applyBorder="1"/>
    <xf numFmtId="164" fontId="11" fillId="7" borderId="18" xfId="1" applyNumberFormat="1" applyFont="1" applyFill="1" applyBorder="1" applyAlignment="1"/>
    <xf numFmtId="164" fontId="15" fillId="8" borderId="18" xfId="1" applyNumberFormat="1" applyFont="1" applyFill="1" applyBorder="1" applyAlignment="1"/>
    <xf numFmtId="164" fontId="15" fillId="10" borderId="18" xfId="1" applyNumberFormat="1" applyFont="1" applyFill="1" applyBorder="1" applyAlignment="1"/>
    <xf numFmtId="164" fontId="15" fillId="0" borderId="18" xfId="1" applyNumberFormat="1" applyFont="1" applyFill="1" applyBorder="1" applyAlignment="1"/>
    <xf numFmtId="0" fontId="11" fillId="0" borderId="18" xfId="0" applyFont="1" applyBorder="1"/>
    <xf numFmtId="16" fontId="15" fillId="0" borderId="18" xfId="0" applyNumberFormat="1" applyFont="1" applyBorder="1"/>
    <xf numFmtId="43" fontId="11" fillId="0" borderId="0" xfId="1" applyFont="1" applyFill="1" applyBorder="1" applyAlignment="1"/>
    <xf numFmtId="0" fontId="15" fillId="5" borderId="18" xfId="0" applyFont="1" applyFill="1" applyBorder="1" applyAlignment="1">
      <alignment wrapText="1"/>
    </xf>
    <xf numFmtId="164" fontId="11" fillId="2" borderId="21" xfId="1" applyNumberFormat="1" applyFont="1" applyFill="1" applyBorder="1" applyAlignment="1"/>
    <xf numFmtId="164" fontId="11" fillId="0" borderId="21" xfId="1" applyNumberFormat="1" applyFont="1" applyFill="1" applyBorder="1" applyAlignment="1"/>
    <xf numFmtId="14" fontId="15" fillId="0" borderId="18" xfId="0" applyNumberFormat="1" applyFont="1" applyBorder="1" applyAlignment="1">
      <alignment horizontal="center"/>
    </xf>
    <xf numFmtId="0" fontId="11" fillId="11" borderId="11" xfId="0" applyFont="1" applyFill="1" applyBorder="1" applyAlignment="1">
      <alignment horizontal="center"/>
    </xf>
    <xf numFmtId="0" fontId="15" fillId="4" borderId="11" xfId="0" applyFont="1" applyFill="1" applyBorder="1"/>
    <xf numFmtId="0" fontId="15" fillId="0" borderId="11" xfId="0" applyFont="1" applyBorder="1"/>
    <xf numFmtId="0" fontId="15" fillId="5" borderId="11" xfId="0" applyFont="1" applyFill="1" applyBorder="1" applyAlignment="1">
      <alignment wrapText="1"/>
    </xf>
    <xf numFmtId="164" fontId="11" fillId="2" borderId="11" xfId="1" applyNumberFormat="1" applyFont="1" applyFill="1" applyBorder="1" applyAlignment="1"/>
    <xf numFmtId="164" fontId="11" fillId="0" borderId="11" xfId="1" applyNumberFormat="1" applyFont="1" applyFill="1" applyBorder="1" applyAlignment="1"/>
    <xf numFmtId="43" fontId="11" fillId="0" borderId="11" xfId="1" applyFont="1" applyFill="1" applyBorder="1" applyAlignment="1"/>
    <xf numFmtId="43" fontId="11" fillId="6" borderId="11" xfId="1" applyFont="1" applyFill="1" applyBorder="1" applyAlignment="1"/>
    <xf numFmtId="43" fontId="11" fillId="2" borderId="11" xfId="1" applyFont="1" applyFill="1" applyBorder="1" applyAlignment="1"/>
    <xf numFmtId="164" fontId="11" fillId="2" borderId="11" xfId="1" applyNumberFormat="1" applyFont="1" applyFill="1" applyBorder="1"/>
    <xf numFmtId="164" fontId="11" fillId="7" borderId="11" xfId="1" applyNumberFormat="1" applyFont="1" applyFill="1" applyBorder="1" applyAlignment="1"/>
    <xf numFmtId="164" fontId="15" fillId="8" borderId="11" xfId="1" applyNumberFormat="1" applyFont="1" applyFill="1" applyBorder="1" applyAlignment="1"/>
    <xf numFmtId="164" fontId="15" fillId="0" borderId="11" xfId="1" applyNumberFormat="1" applyFont="1" applyFill="1" applyBorder="1" applyAlignment="1"/>
    <xf numFmtId="0" fontId="11" fillId="0" borderId="18" xfId="0" applyFont="1" applyBorder="1" applyAlignment="1">
      <alignment horizontal="center"/>
    </xf>
    <xf numFmtId="164" fontId="15" fillId="9" borderId="18" xfId="1" applyNumberFormat="1" applyFont="1" applyFill="1" applyBorder="1" applyAlignment="1"/>
    <xf numFmtId="0" fontId="11" fillId="11" borderId="15" xfId="0" applyFont="1" applyFill="1" applyBorder="1" applyAlignment="1">
      <alignment horizontal="center"/>
    </xf>
    <xf numFmtId="164" fontId="11" fillId="0" borderId="22" xfId="1" applyNumberFormat="1" applyFont="1" applyFill="1" applyBorder="1" applyAlignment="1"/>
    <xf numFmtId="164" fontId="11" fillId="2" borderId="22" xfId="1" applyNumberFormat="1" applyFont="1" applyFill="1" applyBorder="1" applyAlignment="1"/>
    <xf numFmtId="43" fontId="11" fillId="0" borderId="22" xfId="1" applyFont="1" applyFill="1" applyBorder="1" applyAlignment="1"/>
    <xf numFmtId="164" fontId="11" fillId="0" borderId="13" xfId="1" applyNumberFormat="1" applyFont="1" applyFill="1" applyBorder="1" applyAlignment="1"/>
    <xf numFmtId="164" fontId="11" fillId="2" borderId="13" xfId="1" applyNumberFormat="1" applyFont="1" applyFill="1" applyBorder="1" applyAlignment="1"/>
    <xf numFmtId="164" fontId="15" fillId="10" borderId="11" xfId="1" applyNumberFormat="1" applyFont="1" applyFill="1" applyBorder="1" applyAlignment="1"/>
    <xf numFmtId="0" fontId="15" fillId="5" borderId="15" xfId="0" applyFont="1" applyFill="1" applyBorder="1" applyAlignment="1">
      <alignment wrapText="1"/>
    </xf>
    <xf numFmtId="0" fontId="11" fillId="11" borderId="18" xfId="0" applyFont="1" applyFill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23" xfId="3" applyFont="1" applyBorder="1"/>
    <xf numFmtId="0" fontId="15" fillId="0" borderId="23" xfId="3" applyFont="1" applyBorder="1"/>
    <xf numFmtId="43" fontId="15" fillId="2" borderId="24" xfId="1" applyFont="1" applyFill="1" applyBorder="1"/>
    <xf numFmtId="43" fontId="15" fillId="0" borderId="25" xfId="1" applyFont="1" applyFill="1" applyBorder="1"/>
    <xf numFmtId="43" fontId="15" fillId="0" borderId="0" xfId="1" applyFont="1" applyFill="1" applyBorder="1"/>
    <xf numFmtId="0" fontId="17" fillId="0" borderId="0" xfId="0" applyFont="1"/>
    <xf numFmtId="43" fontId="17" fillId="0" borderId="0" xfId="1" applyFont="1" applyFill="1" applyBorder="1"/>
    <xf numFmtId="0" fontId="18" fillId="2" borderId="0" xfId="0" quotePrefix="1" applyFont="1" applyFill="1" applyAlignment="1">
      <alignment horizontal="center"/>
    </xf>
    <xf numFmtId="0" fontId="18" fillId="2" borderId="0" xfId="0" applyFont="1" applyFill="1"/>
    <xf numFmtId="0" fontId="19" fillId="2" borderId="0" xfId="0" applyFont="1" applyFill="1"/>
    <xf numFmtId="164" fontId="13" fillId="2" borderId="0" xfId="1" applyNumberFormat="1" applyFont="1" applyFill="1" applyBorder="1"/>
    <xf numFmtId="43" fontId="13" fillId="2" borderId="0" xfId="1" applyFont="1" applyFill="1" applyBorder="1" applyAlignment="1"/>
    <xf numFmtId="0" fontId="13" fillId="2" borderId="0" xfId="0" applyFont="1" applyFill="1"/>
    <xf numFmtId="43" fontId="13" fillId="2" borderId="0" xfId="1" applyFont="1" applyFill="1" applyBorder="1"/>
    <xf numFmtId="0" fontId="12" fillId="2" borderId="0" xfId="0" applyFont="1" applyFill="1"/>
    <xf numFmtId="43" fontId="20" fillId="2" borderId="0" xfId="1" applyFont="1" applyFill="1" applyBorder="1" applyAlignment="1"/>
    <xf numFmtId="164" fontId="20" fillId="2" borderId="0" xfId="1" applyNumberFormat="1" applyFont="1" applyFill="1" applyBorder="1"/>
    <xf numFmtId="0" fontId="9" fillId="2" borderId="0" xfId="0" applyFont="1" applyFill="1"/>
    <xf numFmtId="43" fontId="12" fillId="2" borderId="0" xfId="0" applyNumberFormat="1" applyFont="1" applyFill="1"/>
    <xf numFmtId="0" fontId="20" fillId="0" borderId="0" xfId="0" applyFont="1"/>
    <xf numFmtId="164" fontId="20" fillId="0" borderId="0" xfId="1" applyNumberFormat="1" applyFont="1" applyFill="1" applyBorder="1"/>
    <xf numFmtId="43" fontId="20" fillId="0" borderId="0" xfId="1" applyFont="1" applyFill="1" applyBorder="1" applyAlignment="1"/>
    <xf numFmtId="164" fontId="20" fillId="0" borderId="7" xfId="1" applyNumberFormat="1" applyFont="1" applyFill="1" applyBorder="1"/>
    <xf numFmtId="43" fontId="20" fillId="0" borderId="0" xfId="1" applyFont="1" applyFill="1" applyBorder="1"/>
    <xf numFmtId="0" fontId="21" fillId="0" borderId="0" xfId="0" applyFont="1"/>
    <xf numFmtId="164" fontId="10" fillId="0" borderId="0" xfId="1" applyNumberFormat="1" applyFont="1" applyFill="1" applyBorder="1" applyAlignment="1"/>
    <xf numFmtId="0" fontId="13" fillId="0" borderId="0" xfId="0" applyFont="1"/>
    <xf numFmtId="0" fontId="10" fillId="0" borderId="0" xfId="0" applyFont="1"/>
    <xf numFmtId="164" fontId="13" fillId="0" borderId="0" xfId="1" applyNumberFormat="1" applyFont="1" applyFill="1" applyBorder="1"/>
    <xf numFmtId="43" fontId="13" fillId="0" borderId="0" xfId="1" applyFont="1" applyFill="1" applyBorder="1" applyAlignment="1"/>
    <xf numFmtId="43" fontId="13" fillId="0" borderId="0" xfId="1" applyFont="1" applyFill="1" applyBorder="1"/>
    <xf numFmtId="43" fontId="12" fillId="3" borderId="15" xfId="2" applyNumberFormat="1" applyFont="1" applyFill="1" applyBorder="1" applyAlignment="1">
      <alignment horizontal="center" vertical="center" wrapText="1"/>
    </xf>
    <xf numFmtId="43" fontId="12" fillId="3" borderId="18" xfId="2" applyNumberFormat="1" applyFont="1" applyFill="1" applyBorder="1" applyAlignment="1">
      <alignment horizontal="center" vertical="center" wrapText="1"/>
    </xf>
    <xf numFmtId="43" fontId="12" fillId="3" borderId="17" xfId="2" applyNumberFormat="1" applyFont="1" applyFill="1" applyBorder="1" applyAlignment="1">
      <alignment horizontal="center" vertical="center" wrapText="1"/>
    </xf>
    <xf numFmtId="43" fontId="12" fillId="3" borderId="16" xfId="2" applyNumberFormat="1" applyFont="1" applyFill="1" applyBorder="1" applyAlignment="1">
      <alignment horizontal="center" vertical="center" wrapText="1"/>
    </xf>
    <xf numFmtId="43" fontId="9" fillId="9" borderId="17" xfId="2" applyNumberFormat="1" applyFont="1" applyFill="1" applyBorder="1" applyAlignment="1">
      <alignment horizontal="center" vertical="center" wrapText="1"/>
    </xf>
    <xf numFmtId="43" fontId="9" fillId="9" borderId="15" xfId="2" applyNumberFormat="1" applyFont="1" applyFill="1" applyBorder="1" applyAlignment="1">
      <alignment horizontal="center" vertical="center" wrapText="1"/>
    </xf>
    <xf numFmtId="43" fontId="9" fillId="10" borderId="11" xfId="2" applyNumberFormat="1" applyFont="1" applyFill="1" applyBorder="1" applyAlignment="1">
      <alignment horizontal="center" vertical="center" wrapText="1"/>
    </xf>
    <xf numFmtId="43" fontId="9" fillId="10" borderId="15" xfId="2" applyNumberFormat="1" applyFont="1" applyFill="1" applyBorder="1" applyAlignment="1">
      <alignment horizontal="center" vertical="center" wrapText="1"/>
    </xf>
    <xf numFmtId="43" fontId="9" fillId="3" borderId="16" xfId="2" applyNumberFormat="1" applyFont="1" applyFill="1" applyBorder="1" applyAlignment="1">
      <alignment horizontal="center" wrapText="1"/>
    </xf>
    <xf numFmtId="43" fontId="9" fillId="3" borderId="15" xfId="2" applyNumberFormat="1" applyFont="1" applyFill="1" applyBorder="1" applyAlignment="1">
      <alignment horizontal="center" wrapText="1"/>
    </xf>
    <xf numFmtId="43" fontId="9" fillId="7" borderId="17" xfId="2" applyNumberFormat="1" applyFont="1" applyFill="1" applyBorder="1" applyAlignment="1">
      <alignment horizontal="center" vertical="center" wrapText="1"/>
    </xf>
    <xf numFmtId="43" fontId="9" fillId="7" borderId="15" xfId="2" applyNumberFormat="1" applyFont="1" applyFill="1" applyBorder="1" applyAlignment="1">
      <alignment horizontal="center" vertical="center" wrapText="1"/>
    </xf>
    <xf numFmtId="43" fontId="9" fillId="8" borderId="18" xfId="2" applyNumberFormat="1" applyFont="1" applyFill="1" applyBorder="1" applyAlignment="1">
      <alignment horizontal="center" vertical="center" wrapText="1"/>
    </xf>
    <xf numFmtId="164" fontId="10" fillId="2" borderId="8" xfId="1" applyNumberFormat="1" applyFont="1" applyFill="1" applyBorder="1" applyAlignment="1">
      <alignment horizontal="center"/>
    </xf>
    <xf numFmtId="164" fontId="10" fillId="2" borderId="10" xfId="1" applyNumberFormat="1" applyFont="1" applyFill="1" applyBorder="1" applyAlignment="1">
      <alignment horizontal="center"/>
    </xf>
    <xf numFmtId="0" fontId="11" fillId="3" borderId="11" xfId="0" applyFont="1" applyFill="1" applyBorder="1" applyAlignment="1">
      <alignment horizontal="center" vertical="center" textRotation="45"/>
    </xf>
    <xf numFmtId="0" fontId="11" fillId="3" borderId="15" xfId="0" applyFont="1" applyFill="1" applyBorder="1" applyAlignment="1">
      <alignment horizontal="center" vertical="center" textRotation="45"/>
    </xf>
    <xf numFmtId="0" fontId="9" fillId="4" borderId="11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43" fontId="12" fillId="3" borderId="12" xfId="2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43" fontId="12" fillId="3" borderId="11" xfId="1" applyFont="1" applyFill="1" applyBorder="1" applyAlignment="1">
      <alignment horizontal="center" vertical="center" wrapText="1"/>
    </xf>
    <xf numFmtId="43" fontId="12" fillId="3" borderId="15" xfId="1" applyFont="1" applyFill="1" applyBorder="1" applyAlignment="1">
      <alignment horizontal="center" vertical="center" wrapText="1"/>
    </xf>
    <xf numFmtId="43" fontId="9" fillId="3" borderId="15" xfId="2" applyNumberFormat="1" applyFont="1" applyFill="1" applyBorder="1" applyAlignment="1">
      <alignment horizontal="center" vertical="center" wrapText="1"/>
    </xf>
    <xf numFmtId="43" fontId="9" fillId="3" borderId="18" xfId="2" applyNumberFormat="1" applyFont="1" applyFill="1" applyBorder="1" applyAlignment="1">
      <alignment horizontal="center" vertical="center" wrapText="1"/>
    </xf>
    <xf numFmtId="43" fontId="9" fillId="3" borderId="18" xfId="2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5" fontId="7" fillId="2" borderId="5" xfId="0" quotePrefix="1" applyNumberFormat="1" applyFont="1" applyFill="1" applyBorder="1" applyAlignment="1">
      <alignment horizontal="center"/>
    </xf>
    <xf numFmtId="165" fontId="7" fillId="2" borderId="6" xfId="0" quotePrefix="1" applyNumberFormat="1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164" fontId="10" fillId="2" borderId="9" xfId="1" applyNumberFormat="1" applyFont="1" applyFill="1" applyBorder="1" applyAlignment="1">
      <alignment horizontal="center"/>
    </xf>
  </cellXfs>
  <cellStyles count="4">
    <cellStyle name="Comma" xfId="1" builtinId="3"/>
    <cellStyle name="Comma 2" xfId="2" xr:uid="{47D021B9-F143-429D-8A99-6EC2619E0EB4}"/>
    <cellStyle name="Normal" xfId="0" builtinId="0"/>
    <cellStyle name="Normal 6" xfId="3" xr:uid="{6069960D-846B-4E99-B1EA-3C2D69472E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ur%20Daily%20Food/Desktop/YDF%20All%20Document%20(2)/YDF%20All%20Document/YDF%20-%20Staff%20Salaries%20Payroll/Salary%20%20Your%20Daily%20Food%20(pvt)%20Ltd%20-%20February%20-%202025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fer Letter-All"/>
      <sheetName val="Salary Feb 2025"/>
      <sheetName val="Salary March 2025 (2)"/>
      <sheetName val="Salary April 2025 (3)"/>
      <sheetName val="Salary May 2025 (4)"/>
      <sheetName val="Salary June 2025 (5)"/>
      <sheetName val="EPF Payable"/>
    </sheetNames>
    <sheetDataSet>
      <sheetData sheetId="0"/>
      <sheetData sheetId="1"/>
      <sheetData sheetId="2"/>
      <sheetData sheetId="3"/>
      <sheetData sheetId="4"/>
      <sheetData sheetId="5"/>
      <sheetData sheetId="6">
        <row r="21">
          <cell r="L21">
            <v>1960</v>
          </cell>
        </row>
        <row r="22">
          <cell r="L22">
            <v>1960</v>
          </cell>
        </row>
        <row r="23">
          <cell r="L23">
            <v>1960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C91D-AD6C-476F-8426-E34795108F0F}">
  <sheetPr>
    <tabColor rgb="FF00B0F0"/>
  </sheetPr>
  <dimension ref="A1:AI41"/>
  <sheetViews>
    <sheetView tabSelected="1" view="pageBreakPreview" zoomScale="85" zoomScaleNormal="90" zoomScaleSheetLayoutView="85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A11" sqref="A11"/>
    </sheetView>
  </sheetViews>
  <sheetFormatPr defaultColWidth="9.08984375" defaultRowHeight="13" x14ac:dyDescent="0.3"/>
  <cols>
    <col min="1" max="1" width="6.36328125" style="136" customWidth="1"/>
    <col min="2" max="2" width="31.08984375" style="136" customWidth="1"/>
    <col min="3" max="3" width="10.36328125" style="137" customWidth="1"/>
    <col min="4" max="4" width="33.26953125" style="136" customWidth="1"/>
    <col min="5" max="5" width="9.81640625" style="138" customWidth="1"/>
    <col min="6" max="6" width="4.453125" style="138" bestFit="1" customWidth="1"/>
    <col min="7" max="8" width="12" style="138" customWidth="1"/>
    <col min="9" max="9" width="7" style="138" hidden="1" customWidth="1"/>
    <col min="10" max="10" width="9.90625" style="139" customWidth="1"/>
    <col min="11" max="11" width="9.26953125" style="138" customWidth="1"/>
    <col min="12" max="12" width="11" style="138" customWidth="1"/>
    <col min="13" max="13" width="12.54296875" style="138" customWidth="1"/>
    <col min="14" max="15" width="11" style="138" customWidth="1"/>
    <col min="16" max="16" width="10.6328125" style="138" customWidth="1"/>
    <col min="17" max="17" width="13.26953125" style="138" customWidth="1"/>
    <col min="18" max="19" width="9.81640625" style="138" customWidth="1"/>
    <col min="20" max="20" width="9" style="138" customWidth="1"/>
    <col min="21" max="21" width="9.90625" style="138" customWidth="1"/>
    <col min="22" max="22" width="9.36328125" style="138" customWidth="1"/>
    <col min="23" max="23" width="9.54296875" style="138" customWidth="1"/>
    <col min="24" max="24" width="11.1796875" style="138" customWidth="1"/>
    <col min="25" max="25" width="11.36328125" style="138" customWidth="1"/>
    <col min="26" max="27" width="11.08984375" style="138" customWidth="1"/>
    <col min="28" max="28" width="8.984375E-2" style="138" customWidth="1"/>
    <col min="29" max="29" width="12.81640625" style="138" customWidth="1"/>
    <col min="30" max="30" width="11.453125" style="136" customWidth="1"/>
    <col min="31" max="31" width="12.453125" style="136" customWidth="1"/>
    <col min="32" max="32" width="11.453125" style="140" customWidth="1"/>
    <col min="33" max="33" width="9" style="140" bestFit="1" customWidth="1"/>
    <col min="34" max="276" width="9.08984375" style="136"/>
    <col min="277" max="277" width="15.90625" style="136" customWidth="1"/>
    <col min="278" max="278" width="9.08984375" style="136"/>
    <col min="279" max="279" width="29.54296875" style="136" customWidth="1"/>
    <col min="280" max="16384" width="9.08984375" style="136"/>
  </cols>
  <sheetData>
    <row r="1" spans="1:35" s="5" customFormat="1" ht="14.4" customHeight="1" x14ac:dyDescent="0.35">
      <c r="A1" s="171" t="s">
        <v>0</v>
      </c>
      <c r="B1" s="172"/>
      <c r="C1" s="1"/>
      <c r="D1" s="2"/>
      <c r="E1" s="3"/>
      <c r="F1" s="3"/>
      <c r="G1" s="3"/>
      <c r="H1" s="3"/>
      <c r="I1" s="3"/>
      <c r="J1" s="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F1" s="6"/>
      <c r="AG1" s="6"/>
    </row>
    <row r="2" spans="1:35" s="9" customFormat="1" ht="12.65" customHeight="1" x14ac:dyDescent="0.35">
      <c r="A2" s="173" t="s">
        <v>1</v>
      </c>
      <c r="B2" s="174"/>
      <c r="C2" s="1"/>
      <c r="D2" s="2"/>
      <c r="E2" s="7"/>
      <c r="F2" s="7"/>
      <c r="G2" s="7"/>
      <c r="H2" s="7"/>
      <c r="I2" s="7"/>
      <c r="J2" s="8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F2" s="10"/>
      <c r="AG2" s="10"/>
    </row>
    <row r="3" spans="1:35" s="9" customFormat="1" ht="15.65" customHeight="1" thickBot="1" x14ac:dyDescent="0.4">
      <c r="A3" s="175">
        <v>45809</v>
      </c>
      <c r="B3" s="176"/>
      <c r="C3" s="11"/>
      <c r="D3" s="12"/>
      <c r="E3" s="7"/>
      <c r="F3" s="7"/>
      <c r="G3" s="7"/>
      <c r="H3" s="7"/>
      <c r="I3" s="7"/>
      <c r="J3" s="8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F3" s="10"/>
      <c r="AG3" s="10"/>
    </row>
    <row r="4" spans="1:35" s="19" customFormat="1" ht="15" customHeight="1" thickBot="1" x14ac:dyDescent="0.35">
      <c r="A4" s="177"/>
      <c r="B4" s="177"/>
      <c r="C4" s="13"/>
      <c r="D4" s="14"/>
      <c r="E4" s="15"/>
      <c r="F4" s="15"/>
      <c r="G4" s="15"/>
      <c r="H4" s="15"/>
      <c r="I4" s="15"/>
      <c r="J4" s="16"/>
      <c r="K4" s="154" t="s">
        <v>2</v>
      </c>
      <c r="L4" s="178"/>
      <c r="M4" s="178"/>
      <c r="N4" s="178"/>
      <c r="O4" s="178"/>
      <c r="P4" s="155"/>
      <c r="Q4" s="17"/>
      <c r="R4" s="154" t="s">
        <v>3</v>
      </c>
      <c r="S4" s="178"/>
      <c r="T4" s="178"/>
      <c r="U4" s="178"/>
      <c r="V4" s="178"/>
      <c r="W4" s="178"/>
      <c r="X4" s="155"/>
      <c r="Y4" s="18"/>
      <c r="Z4" s="154" t="s">
        <v>4</v>
      </c>
      <c r="AA4" s="155"/>
      <c r="AB4" s="15"/>
      <c r="AC4" s="15"/>
      <c r="AF4" s="20"/>
      <c r="AG4" s="20"/>
    </row>
    <row r="5" spans="1:35" s="26" customFormat="1" ht="27" customHeight="1" x14ac:dyDescent="0.35">
      <c r="A5" s="156" t="s">
        <v>5</v>
      </c>
      <c r="B5" s="158" t="s">
        <v>6</v>
      </c>
      <c r="C5" s="160" t="s">
        <v>7</v>
      </c>
      <c r="D5" s="162" t="s">
        <v>8</v>
      </c>
      <c r="E5" s="164" t="s">
        <v>9</v>
      </c>
      <c r="F5" s="21"/>
      <c r="G5" s="22" t="s">
        <v>10</v>
      </c>
      <c r="H5" s="23" t="s">
        <v>10</v>
      </c>
      <c r="I5" s="166" t="s">
        <v>11</v>
      </c>
      <c r="J5" s="24" t="s">
        <v>12</v>
      </c>
      <c r="K5" s="168" t="s">
        <v>13</v>
      </c>
      <c r="L5" s="150" t="s">
        <v>14</v>
      </c>
      <c r="M5" s="150" t="s">
        <v>15</v>
      </c>
      <c r="N5" s="149" t="s">
        <v>16</v>
      </c>
      <c r="O5" s="149" t="s">
        <v>17</v>
      </c>
      <c r="P5" s="151" t="s">
        <v>18</v>
      </c>
      <c r="Q5" s="153" t="s">
        <v>19</v>
      </c>
      <c r="R5" s="143" t="s">
        <v>11</v>
      </c>
      <c r="S5" s="144" t="s">
        <v>20</v>
      </c>
      <c r="T5" s="144" t="s">
        <v>21</v>
      </c>
      <c r="U5" s="141" t="s">
        <v>22</v>
      </c>
      <c r="V5" s="144" t="s">
        <v>23</v>
      </c>
      <c r="W5" s="144" t="s">
        <v>24</v>
      </c>
      <c r="X5" s="145" t="s">
        <v>25</v>
      </c>
      <c r="Y5" s="147" t="s">
        <v>26</v>
      </c>
      <c r="Z5" s="141" t="s">
        <v>27</v>
      </c>
      <c r="AA5" s="143" t="s">
        <v>28</v>
      </c>
      <c r="AB5" s="23"/>
      <c r="AC5" s="25"/>
      <c r="AE5" s="27" t="e">
        <f>+#REF!-#REF!</f>
        <v>#REF!</v>
      </c>
      <c r="AF5" s="28" t="s">
        <v>29</v>
      </c>
      <c r="AG5" s="28"/>
    </row>
    <row r="6" spans="1:35" s="26" customFormat="1" ht="14.4" customHeight="1" x14ac:dyDescent="0.35">
      <c r="A6" s="157"/>
      <c r="B6" s="159"/>
      <c r="C6" s="161"/>
      <c r="D6" s="163"/>
      <c r="E6" s="165"/>
      <c r="F6" s="29"/>
      <c r="G6" s="30" t="s">
        <v>30</v>
      </c>
      <c r="H6" s="31" t="s">
        <v>31</v>
      </c>
      <c r="I6" s="167"/>
      <c r="J6" s="32" t="s">
        <v>32</v>
      </c>
      <c r="K6" s="169"/>
      <c r="L6" s="170"/>
      <c r="M6" s="170"/>
      <c r="N6" s="150"/>
      <c r="O6" s="150"/>
      <c r="P6" s="152"/>
      <c r="Q6" s="153"/>
      <c r="R6" s="141"/>
      <c r="S6" s="141"/>
      <c r="T6" s="141"/>
      <c r="U6" s="142"/>
      <c r="V6" s="141"/>
      <c r="W6" s="141"/>
      <c r="X6" s="146"/>
      <c r="Y6" s="148"/>
      <c r="Z6" s="142"/>
      <c r="AA6" s="141"/>
      <c r="AB6" s="31"/>
      <c r="AC6" s="25"/>
      <c r="AE6" s="27" t="e">
        <f>+#REF!-#REF!</f>
        <v>#REF!</v>
      </c>
      <c r="AF6" s="33" t="s">
        <v>24</v>
      </c>
      <c r="AG6" s="34"/>
      <c r="AI6" s="35"/>
    </row>
    <row r="7" spans="1:35" s="44" customFormat="1" ht="17.399999999999999" customHeight="1" x14ac:dyDescent="0.35">
      <c r="A7" s="36"/>
      <c r="B7" s="37" t="s">
        <v>33</v>
      </c>
      <c r="C7" s="38"/>
      <c r="D7" s="39"/>
      <c r="E7" s="39"/>
      <c r="F7" s="39"/>
      <c r="G7" s="40"/>
      <c r="H7" s="40"/>
      <c r="I7" s="41"/>
      <c r="J7" s="42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0"/>
      <c r="AC7" s="40"/>
      <c r="AE7" s="45"/>
      <c r="AF7" s="28"/>
      <c r="AG7" s="28"/>
      <c r="AI7" s="46"/>
    </row>
    <row r="8" spans="1:35" s="63" customFormat="1" ht="30" customHeight="1" x14ac:dyDescent="0.3">
      <c r="A8" s="47">
        <v>1</v>
      </c>
      <c r="B8" s="48" t="s">
        <v>34</v>
      </c>
      <c r="C8" s="49"/>
      <c r="D8" s="50" t="s">
        <v>35</v>
      </c>
      <c r="E8" s="51">
        <v>23500</v>
      </c>
      <c r="F8" s="52"/>
      <c r="G8" s="52">
        <v>1000</v>
      </c>
      <c r="H8" s="52">
        <v>2500</v>
      </c>
      <c r="I8" s="53">
        <v>0</v>
      </c>
      <c r="J8" s="54">
        <f>E8+G8+H8-I8</f>
        <v>27000</v>
      </c>
      <c r="K8" s="55">
        <v>0</v>
      </c>
      <c r="L8" s="52">
        <v>13000</v>
      </c>
      <c r="M8" s="56">
        <f>90000</f>
        <v>90000</v>
      </c>
      <c r="N8" s="52">
        <v>10000</v>
      </c>
      <c r="O8" s="52">
        <v>10000</v>
      </c>
      <c r="P8" s="57">
        <f t="shared" ref="P8:P19" si="0">L8+M8+N8+O8+K8</f>
        <v>123000</v>
      </c>
      <c r="Q8" s="58">
        <f t="shared" ref="Q8:Q19" si="1">J8+P8</f>
        <v>150000</v>
      </c>
      <c r="R8" s="52">
        <v>0</v>
      </c>
      <c r="S8" s="52">
        <f>'[1]EPF Payable'!L21</f>
        <v>1960</v>
      </c>
      <c r="T8" s="52">
        <v>0</v>
      </c>
      <c r="U8" s="52">
        <v>0</v>
      </c>
      <c r="V8" s="52">
        <v>0</v>
      </c>
      <c r="W8" s="52">
        <f>J8*8%</f>
        <v>2160</v>
      </c>
      <c r="X8" s="59">
        <f>R8+T8+U8+V8+W8+S8</f>
        <v>4120</v>
      </c>
      <c r="Y8" s="60">
        <f>Q8-X8</f>
        <v>145880</v>
      </c>
      <c r="Z8" s="61">
        <f>J8*12%</f>
        <v>3240</v>
      </c>
      <c r="AA8" s="61">
        <f>J8*3%</f>
        <v>810</v>
      </c>
      <c r="AB8" s="52"/>
      <c r="AC8" s="62"/>
      <c r="AE8" s="64"/>
      <c r="AF8" s="53"/>
      <c r="AG8" s="53"/>
    </row>
    <row r="9" spans="1:35" s="63" customFormat="1" ht="30" customHeight="1" x14ac:dyDescent="0.3">
      <c r="A9" s="47">
        <v>2</v>
      </c>
      <c r="B9" s="65" t="s">
        <v>36</v>
      </c>
      <c r="C9" s="66"/>
      <c r="D9" s="67" t="s">
        <v>35</v>
      </c>
      <c r="E9" s="68">
        <v>23500</v>
      </c>
      <c r="F9" s="69"/>
      <c r="G9" s="69">
        <v>1000</v>
      </c>
      <c r="H9" s="69">
        <v>2500</v>
      </c>
      <c r="I9" s="70">
        <v>0</v>
      </c>
      <c r="J9" s="71">
        <f t="shared" ref="J9:J27" si="2">E9+G9+H9-I9</f>
        <v>27000</v>
      </c>
      <c r="K9" s="72">
        <v>0</v>
      </c>
      <c r="L9" s="69">
        <v>5000</v>
      </c>
      <c r="M9" s="73">
        <v>28500</v>
      </c>
      <c r="N9" s="69">
        <v>2500</v>
      </c>
      <c r="O9" s="69">
        <v>12000</v>
      </c>
      <c r="P9" s="74">
        <f t="shared" si="0"/>
        <v>48000</v>
      </c>
      <c r="Q9" s="75">
        <f t="shared" si="1"/>
        <v>75000</v>
      </c>
      <c r="R9" s="69">
        <v>0</v>
      </c>
      <c r="S9" s="52">
        <f>'[1]EPF Payable'!L22</f>
        <v>1960</v>
      </c>
      <c r="T9" s="69">
        <v>0</v>
      </c>
      <c r="U9" s="69">
        <v>0</v>
      </c>
      <c r="V9" s="69">
        <v>0</v>
      </c>
      <c r="W9" s="69">
        <f>J9*8%</f>
        <v>2160</v>
      </c>
      <c r="X9" s="59">
        <f t="shared" ref="X9:X20" si="3">R9+T9+U9+V9+W9+S9</f>
        <v>4120</v>
      </c>
      <c r="Y9" s="76">
        <f t="shared" ref="Y9:Y33" si="4">Q9-X9</f>
        <v>70880</v>
      </c>
      <c r="Z9" s="77">
        <f>J9*12%</f>
        <v>3240</v>
      </c>
      <c r="AA9" s="77">
        <f>J9*3%</f>
        <v>810</v>
      </c>
      <c r="AB9" s="69"/>
      <c r="AC9" s="62"/>
      <c r="AE9" s="64"/>
      <c r="AF9" s="70"/>
      <c r="AG9" s="70"/>
    </row>
    <row r="10" spans="1:35" s="63" customFormat="1" ht="30" customHeight="1" x14ac:dyDescent="0.3">
      <c r="A10" s="47">
        <v>3</v>
      </c>
      <c r="B10" s="65" t="s">
        <v>37</v>
      </c>
      <c r="C10" s="66"/>
      <c r="D10" s="50" t="s">
        <v>38</v>
      </c>
      <c r="E10" s="68">
        <v>23500</v>
      </c>
      <c r="F10" s="69"/>
      <c r="G10" s="69">
        <v>1000</v>
      </c>
      <c r="H10" s="69">
        <v>2500</v>
      </c>
      <c r="I10" s="70">
        <v>0</v>
      </c>
      <c r="J10" s="71">
        <f t="shared" si="2"/>
        <v>27000</v>
      </c>
      <c r="K10" s="72">
        <v>0</v>
      </c>
      <c r="L10" s="69">
        <v>5000</v>
      </c>
      <c r="M10" s="73">
        <v>28500</v>
      </c>
      <c r="N10" s="69">
        <v>2500</v>
      </c>
      <c r="O10" s="69">
        <v>12000</v>
      </c>
      <c r="P10" s="74">
        <f t="shared" si="0"/>
        <v>48000</v>
      </c>
      <c r="Q10" s="75">
        <f t="shared" si="1"/>
        <v>75000</v>
      </c>
      <c r="R10" s="69">
        <v>0</v>
      </c>
      <c r="S10" s="52">
        <f>'[1]EPF Payable'!L23</f>
        <v>1960</v>
      </c>
      <c r="T10" s="69">
        <v>0</v>
      </c>
      <c r="U10" s="69">
        <v>0</v>
      </c>
      <c r="V10" s="69">
        <v>0</v>
      </c>
      <c r="W10" s="69">
        <f>J10*8%</f>
        <v>2160</v>
      </c>
      <c r="X10" s="59">
        <f t="shared" si="3"/>
        <v>4120</v>
      </c>
      <c r="Y10" s="76">
        <f t="shared" si="4"/>
        <v>70880</v>
      </c>
      <c r="Z10" s="77">
        <f>J10*12%</f>
        <v>3240</v>
      </c>
      <c r="AA10" s="77">
        <f>J10*3%</f>
        <v>810</v>
      </c>
      <c r="AB10" s="69"/>
      <c r="AC10" s="62"/>
      <c r="AE10" s="64"/>
      <c r="AF10" s="70"/>
      <c r="AG10" s="70"/>
    </row>
    <row r="11" spans="1:35" s="63" customFormat="1" ht="30" customHeight="1" x14ac:dyDescent="0.3">
      <c r="A11" s="47">
        <v>4</v>
      </c>
      <c r="B11" s="65" t="s">
        <v>39</v>
      </c>
      <c r="C11" s="66"/>
      <c r="D11" s="50" t="s">
        <v>40</v>
      </c>
      <c r="E11" s="68">
        <v>23500</v>
      </c>
      <c r="F11" s="69"/>
      <c r="G11" s="69">
        <v>1000</v>
      </c>
      <c r="H11" s="69">
        <v>2500</v>
      </c>
      <c r="I11" s="70">
        <v>0</v>
      </c>
      <c r="J11" s="71">
        <f t="shared" si="2"/>
        <v>27000</v>
      </c>
      <c r="K11" s="72">
        <v>0</v>
      </c>
      <c r="L11" s="69">
        <v>5000</v>
      </c>
      <c r="M11" s="73">
        <v>25500</v>
      </c>
      <c r="N11" s="69">
        <v>2500</v>
      </c>
      <c r="O11" s="69">
        <v>10000</v>
      </c>
      <c r="P11" s="74">
        <f t="shared" si="0"/>
        <v>43000</v>
      </c>
      <c r="Q11" s="75">
        <f t="shared" si="1"/>
        <v>70000</v>
      </c>
      <c r="R11" s="69">
        <v>0</v>
      </c>
      <c r="S11" s="52">
        <v>0</v>
      </c>
      <c r="T11" s="69">
        <v>5000</v>
      </c>
      <c r="U11" s="69">
        <v>25000</v>
      </c>
      <c r="V11" s="69">
        <v>0</v>
      </c>
      <c r="W11" s="69">
        <f>J11*8%</f>
        <v>2160</v>
      </c>
      <c r="X11" s="59">
        <f t="shared" si="3"/>
        <v>32160</v>
      </c>
      <c r="Y11" s="76">
        <f t="shared" si="4"/>
        <v>37840</v>
      </c>
      <c r="Z11" s="77">
        <f>J11*12%</f>
        <v>3240</v>
      </c>
      <c r="AA11" s="77">
        <f>J11*3%</f>
        <v>810</v>
      </c>
      <c r="AB11" s="69"/>
      <c r="AC11" s="62"/>
      <c r="AE11" s="78"/>
      <c r="AF11" s="70"/>
      <c r="AG11" s="70"/>
    </row>
    <row r="12" spans="1:35" s="63" customFormat="1" ht="30" customHeight="1" x14ac:dyDescent="0.3">
      <c r="A12" s="47">
        <v>5</v>
      </c>
      <c r="B12" s="65" t="s">
        <v>41</v>
      </c>
      <c r="C12" s="79"/>
      <c r="D12" s="50" t="s">
        <v>42</v>
      </c>
      <c r="E12" s="68">
        <v>23500</v>
      </c>
      <c r="F12" s="69"/>
      <c r="G12" s="69">
        <v>1000</v>
      </c>
      <c r="H12" s="69">
        <v>2500</v>
      </c>
      <c r="I12" s="70">
        <v>0</v>
      </c>
      <c r="J12" s="71">
        <f t="shared" si="2"/>
        <v>27000</v>
      </c>
      <c r="K12" s="72">
        <v>0</v>
      </c>
      <c r="L12" s="69">
        <v>5000</v>
      </c>
      <c r="M12" s="73">
        <f>12500+5000+3000</f>
        <v>20500</v>
      </c>
      <c r="N12" s="69">
        <v>2500</v>
      </c>
      <c r="O12" s="69">
        <v>10000</v>
      </c>
      <c r="P12" s="74">
        <f t="shared" si="0"/>
        <v>38000</v>
      </c>
      <c r="Q12" s="75">
        <f t="shared" si="1"/>
        <v>65000</v>
      </c>
      <c r="R12" s="69">
        <v>0</v>
      </c>
      <c r="S12" s="52">
        <v>0</v>
      </c>
      <c r="T12" s="68">
        <v>5000</v>
      </c>
      <c r="U12" s="69">
        <v>0</v>
      </c>
      <c r="V12" s="69">
        <v>0</v>
      </c>
      <c r="W12" s="69">
        <v>0</v>
      </c>
      <c r="X12" s="59">
        <f t="shared" si="3"/>
        <v>5000</v>
      </c>
      <c r="Y12" s="76">
        <f t="shared" si="4"/>
        <v>60000</v>
      </c>
      <c r="Z12" s="77">
        <v>0</v>
      </c>
      <c r="AA12" s="77">
        <v>0</v>
      </c>
      <c r="AE12" s="80"/>
      <c r="AF12" s="80"/>
    </row>
    <row r="13" spans="1:35" s="63" customFormat="1" ht="30" customHeight="1" x14ac:dyDescent="0.3">
      <c r="A13" s="47">
        <v>6</v>
      </c>
      <c r="B13" s="65" t="s">
        <v>43</v>
      </c>
      <c r="C13" s="66"/>
      <c r="D13" s="81" t="s">
        <v>44</v>
      </c>
      <c r="E13" s="68">
        <v>23500</v>
      </c>
      <c r="F13" s="69"/>
      <c r="G13" s="69">
        <v>1000</v>
      </c>
      <c r="H13" s="69">
        <v>2500</v>
      </c>
      <c r="I13" s="70">
        <v>0</v>
      </c>
      <c r="J13" s="71">
        <f t="shared" si="2"/>
        <v>27000</v>
      </c>
      <c r="K13" s="72">
        <v>0</v>
      </c>
      <c r="L13" s="69">
        <v>5000</v>
      </c>
      <c r="M13" s="73">
        <f>13500+5000+7000</f>
        <v>25500</v>
      </c>
      <c r="N13" s="69">
        <v>2500</v>
      </c>
      <c r="O13" s="69">
        <v>10000</v>
      </c>
      <c r="P13" s="74">
        <f t="shared" si="0"/>
        <v>43000</v>
      </c>
      <c r="Q13" s="75">
        <f t="shared" si="1"/>
        <v>70000</v>
      </c>
      <c r="R13" s="69">
        <v>0</v>
      </c>
      <c r="S13" s="52">
        <v>0</v>
      </c>
      <c r="T13" s="82">
        <v>0</v>
      </c>
      <c r="U13" s="83">
        <v>10000</v>
      </c>
      <c r="V13" s="69">
        <v>0</v>
      </c>
      <c r="W13" s="69">
        <f>J13*8%</f>
        <v>2160</v>
      </c>
      <c r="X13" s="59">
        <f t="shared" si="3"/>
        <v>12160</v>
      </c>
      <c r="Y13" s="76">
        <f t="shared" si="4"/>
        <v>57840</v>
      </c>
      <c r="Z13" s="77">
        <f>J13*12%</f>
        <v>3240</v>
      </c>
      <c r="AA13" s="77">
        <f>J13*3%</f>
        <v>810</v>
      </c>
      <c r="AB13" s="69"/>
      <c r="AC13" s="62"/>
      <c r="AF13" s="80"/>
      <c r="AG13" s="80"/>
    </row>
    <row r="14" spans="1:35" s="63" customFormat="1" ht="30" customHeight="1" x14ac:dyDescent="0.3">
      <c r="A14" s="47">
        <v>7</v>
      </c>
      <c r="B14" s="65" t="s">
        <v>45</v>
      </c>
      <c r="C14" s="66"/>
      <c r="D14" s="81" t="s">
        <v>46</v>
      </c>
      <c r="E14" s="68">
        <v>23500</v>
      </c>
      <c r="F14" s="69"/>
      <c r="G14" s="69">
        <v>1000</v>
      </c>
      <c r="H14" s="69">
        <v>2500</v>
      </c>
      <c r="I14" s="70">
        <v>0</v>
      </c>
      <c r="J14" s="71">
        <f t="shared" si="2"/>
        <v>27000</v>
      </c>
      <c r="K14" s="72">
        <v>0</v>
      </c>
      <c r="L14" s="69">
        <v>5000</v>
      </c>
      <c r="M14" s="73">
        <f>8500+5000+2000</f>
        <v>15500</v>
      </c>
      <c r="N14" s="69">
        <v>2500</v>
      </c>
      <c r="O14" s="69">
        <v>10000</v>
      </c>
      <c r="P14" s="74">
        <f t="shared" si="0"/>
        <v>33000</v>
      </c>
      <c r="Q14" s="75">
        <f t="shared" si="1"/>
        <v>60000</v>
      </c>
      <c r="R14" s="69">
        <v>0</v>
      </c>
      <c r="S14" s="52">
        <v>0</v>
      </c>
      <c r="T14" s="82">
        <v>10000</v>
      </c>
      <c r="U14" s="83">
        <v>0</v>
      </c>
      <c r="V14" s="69">
        <v>0</v>
      </c>
      <c r="W14" s="69">
        <f>J14*8%</f>
        <v>2160</v>
      </c>
      <c r="X14" s="59">
        <f t="shared" si="3"/>
        <v>12160</v>
      </c>
      <c r="Y14" s="76">
        <f t="shared" si="4"/>
        <v>47840</v>
      </c>
      <c r="Z14" s="77">
        <f>J14*12%</f>
        <v>3240</v>
      </c>
      <c r="AA14" s="77">
        <f>J14*3%</f>
        <v>810</v>
      </c>
      <c r="AB14" s="69"/>
      <c r="AC14" s="62"/>
      <c r="AF14" s="80"/>
      <c r="AG14" s="80"/>
    </row>
    <row r="15" spans="1:35" s="63" customFormat="1" ht="30" customHeight="1" x14ac:dyDescent="0.3">
      <c r="A15" s="47">
        <v>8</v>
      </c>
      <c r="B15" s="65" t="s">
        <v>47</v>
      </c>
      <c r="C15" s="66"/>
      <c r="D15" s="81" t="s">
        <v>48</v>
      </c>
      <c r="E15" s="68">
        <v>23500</v>
      </c>
      <c r="F15" s="69"/>
      <c r="G15" s="69">
        <v>1000</v>
      </c>
      <c r="H15" s="69">
        <v>2500</v>
      </c>
      <c r="I15" s="70">
        <v>0</v>
      </c>
      <c r="J15" s="71">
        <f t="shared" si="2"/>
        <v>27000</v>
      </c>
      <c r="K15" s="72">
        <v>0</v>
      </c>
      <c r="L15" s="69">
        <f>2000+3000-2500</f>
        <v>2500</v>
      </c>
      <c r="M15" s="73">
        <f>3500+2500+7000</f>
        <v>13000</v>
      </c>
      <c r="N15" s="68">
        <v>0</v>
      </c>
      <c r="O15" s="68">
        <v>7500</v>
      </c>
      <c r="P15" s="74">
        <f t="shared" si="0"/>
        <v>23000</v>
      </c>
      <c r="Q15" s="75">
        <f t="shared" si="1"/>
        <v>50000</v>
      </c>
      <c r="R15" s="69">
        <v>0</v>
      </c>
      <c r="S15" s="52">
        <v>0</v>
      </c>
      <c r="T15" s="82">
        <v>0</v>
      </c>
      <c r="U15" s="83">
        <v>15000</v>
      </c>
      <c r="V15" s="69">
        <v>0</v>
      </c>
      <c r="W15" s="69">
        <v>0</v>
      </c>
      <c r="X15" s="59">
        <f t="shared" si="3"/>
        <v>15000</v>
      </c>
      <c r="Y15" s="76">
        <f t="shared" si="4"/>
        <v>35000</v>
      </c>
      <c r="Z15" s="77">
        <v>0</v>
      </c>
      <c r="AA15" s="77">
        <v>0</v>
      </c>
      <c r="AB15" s="69"/>
      <c r="AC15" s="62"/>
      <c r="AF15" s="80"/>
      <c r="AG15" s="80"/>
    </row>
    <row r="16" spans="1:35" s="63" customFormat="1" ht="30" customHeight="1" x14ac:dyDescent="0.3">
      <c r="A16" s="47">
        <v>9</v>
      </c>
      <c r="B16" s="65" t="s">
        <v>49</v>
      </c>
      <c r="C16" s="84"/>
      <c r="D16" s="81" t="s">
        <v>50</v>
      </c>
      <c r="E16" s="68">
        <v>23500</v>
      </c>
      <c r="F16" s="69"/>
      <c r="G16" s="69">
        <v>1000</v>
      </c>
      <c r="H16" s="69">
        <v>2500</v>
      </c>
      <c r="I16" s="70"/>
      <c r="J16" s="71">
        <f t="shared" si="2"/>
        <v>27000</v>
      </c>
      <c r="K16" s="72"/>
      <c r="L16" s="69">
        <v>5000</v>
      </c>
      <c r="M16" s="73">
        <f>7500+5000+3000</f>
        <v>15500</v>
      </c>
      <c r="N16" s="68">
        <v>2500</v>
      </c>
      <c r="O16" s="68">
        <v>10000</v>
      </c>
      <c r="P16" s="74">
        <f t="shared" si="0"/>
        <v>33000</v>
      </c>
      <c r="Q16" s="75">
        <f t="shared" si="1"/>
        <v>60000</v>
      </c>
      <c r="R16" s="69">
        <v>0</v>
      </c>
      <c r="S16" s="52">
        <v>0</v>
      </c>
      <c r="T16" s="82">
        <v>0</v>
      </c>
      <c r="U16" s="83">
        <v>0</v>
      </c>
      <c r="V16" s="69">
        <v>0</v>
      </c>
      <c r="W16" s="69">
        <v>0</v>
      </c>
      <c r="X16" s="59">
        <f t="shared" si="3"/>
        <v>0</v>
      </c>
      <c r="Y16" s="76">
        <f t="shared" si="4"/>
        <v>60000</v>
      </c>
      <c r="Z16" s="77">
        <v>0</v>
      </c>
      <c r="AA16" s="77">
        <v>0</v>
      </c>
      <c r="AB16" s="69"/>
      <c r="AC16" s="62"/>
      <c r="AF16" s="80"/>
      <c r="AG16" s="80"/>
    </row>
    <row r="17" spans="1:33" s="63" customFormat="1" ht="30" customHeight="1" x14ac:dyDescent="0.3">
      <c r="A17" s="85" t="s">
        <v>51</v>
      </c>
      <c r="B17" s="86" t="s">
        <v>52</v>
      </c>
      <c r="C17" s="87"/>
      <c r="D17" s="88" t="s">
        <v>53</v>
      </c>
      <c r="E17" s="89">
        <v>0</v>
      </c>
      <c r="F17" s="90"/>
      <c r="G17" s="90">
        <v>0</v>
      </c>
      <c r="H17" s="90">
        <v>0</v>
      </c>
      <c r="I17" s="91">
        <v>0</v>
      </c>
      <c r="J17" s="92">
        <f t="shared" si="2"/>
        <v>0</v>
      </c>
      <c r="K17" s="93">
        <v>0</v>
      </c>
      <c r="L17" s="90">
        <v>0</v>
      </c>
      <c r="M17" s="94">
        <v>0</v>
      </c>
      <c r="N17" s="89">
        <v>0</v>
      </c>
      <c r="O17" s="89">
        <v>0</v>
      </c>
      <c r="P17" s="95">
        <f t="shared" si="0"/>
        <v>0</v>
      </c>
      <c r="Q17" s="96">
        <v>35000</v>
      </c>
      <c r="R17" s="69">
        <v>0</v>
      </c>
      <c r="S17" s="52">
        <v>0</v>
      </c>
      <c r="T17" s="82">
        <v>0</v>
      </c>
      <c r="U17" s="83">
        <v>0</v>
      </c>
      <c r="V17" s="69">
        <v>0</v>
      </c>
      <c r="W17" s="69">
        <v>0</v>
      </c>
      <c r="X17" s="59">
        <f t="shared" si="3"/>
        <v>0</v>
      </c>
      <c r="Y17" s="76">
        <f t="shared" si="4"/>
        <v>35000</v>
      </c>
      <c r="Z17" s="97">
        <f>J17*12%</f>
        <v>0</v>
      </c>
      <c r="AA17" s="97">
        <f>J17*3%</f>
        <v>0</v>
      </c>
      <c r="AB17" s="90"/>
      <c r="AC17" s="62"/>
      <c r="AF17" s="80"/>
      <c r="AG17" s="80"/>
    </row>
    <row r="18" spans="1:33" s="63" customFormat="1" ht="30" customHeight="1" x14ac:dyDescent="0.3">
      <c r="A18" s="85" t="s">
        <v>54</v>
      </c>
      <c r="B18" s="86" t="s">
        <v>55</v>
      </c>
      <c r="C18" s="87"/>
      <c r="D18" s="88" t="s">
        <v>56</v>
      </c>
      <c r="E18" s="89">
        <v>23500</v>
      </c>
      <c r="F18" s="90"/>
      <c r="G18" s="90">
        <v>1000</v>
      </c>
      <c r="H18" s="90">
        <v>2500</v>
      </c>
      <c r="I18" s="91"/>
      <c r="J18" s="71">
        <f t="shared" si="2"/>
        <v>27000</v>
      </c>
      <c r="K18" s="93">
        <v>0</v>
      </c>
      <c r="L18" s="69">
        <v>7500</v>
      </c>
      <c r="M18" s="73">
        <v>30000</v>
      </c>
      <c r="N18" s="69">
        <v>2500</v>
      </c>
      <c r="O18" s="69">
        <v>13000</v>
      </c>
      <c r="P18" s="74">
        <f t="shared" si="0"/>
        <v>53000</v>
      </c>
      <c r="Q18" s="75">
        <f t="shared" si="1"/>
        <v>80000</v>
      </c>
      <c r="R18" s="69">
        <v>0</v>
      </c>
      <c r="S18" s="52">
        <v>0</v>
      </c>
      <c r="T18" s="82">
        <v>0</v>
      </c>
      <c r="U18" s="83">
        <v>0</v>
      </c>
      <c r="V18" s="69">
        <v>0</v>
      </c>
      <c r="W18" s="69">
        <v>0</v>
      </c>
      <c r="X18" s="59">
        <f t="shared" si="3"/>
        <v>0</v>
      </c>
      <c r="Y18" s="76">
        <f t="shared" si="4"/>
        <v>80000</v>
      </c>
      <c r="Z18" s="97"/>
      <c r="AA18" s="97"/>
      <c r="AB18" s="90"/>
      <c r="AC18" s="62"/>
      <c r="AF18" s="80"/>
      <c r="AG18" s="80"/>
    </row>
    <row r="19" spans="1:33" s="63" customFormat="1" ht="30" customHeight="1" x14ac:dyDescent="0.3">
      <c r="A19" s="85" t="s">
        <v>57</v>
      </c>
      <c r="B19" s="86" t="s">
        <v>58</v>
      </c>
      <c r="C19" s="87"/>
      <c r="D19" s="88" t="s">
        <v>59</v>
      </c>
      <c r="E19" s="89">
        <v>23500</v>
      </c>
      <c r="F19" s="90"/>
      <c r="G19" s="90">
        <v>1000</v>
      </c>
      <c r="H19" s="90">
        <v>2500</v>
      </c>
      <c r="I19" s="91"/>
      <c r="J19" s="92">
        <f t="shared" si="2"/>
        <v>27000</v>
      </c>
      <c r="K19" s="93">
        <f>60000/25*5.5</f>
        <v>13200</v>
      </c>
      <c r="L19" s="69">
        <v>5000</v>
      </c>
      <c r="M19" s="73">
        <f>8500+5000+2000</f>
        <v>15500</v>
      </c>
      <c r="N19" s="69">
        <v>2500</v>
      </c>
      <c r="O19" s="69">
        <v>10000</v>
      </c>
      <c r="P19" s="74">
        <f t="shared" si="0"/>
        <v>46200</v>
      </c>
      <c r="Q19" s="75">
        <f t="shared" si="1"/>
        <v>73200</v>
      </c>
      <c r="R19" s="69">
        <v>0</v>
      </c>
      <c r="S19" s="52">
        <v>0</v>
      </c>
      <c r="T19" s="82">
        <v>0</v>
      </c>
      <c r="U19" s="83">
        <v>0</v>
      </c>
      <c r="V19" s="69">
        <v>0</v>
      </c>
      <c r="W19" s="69">
        <v>0</v>
      </c>
      <c r="X19" s="59">
        <f t="shared" si="3"/>
        <v>0</v>
      </c>
      <c r="Y19" s="76">
        <f t="shared" si="4"/>
        <v>73200</v>
      </c>
      <c r="Z19" s="97"/>
      <c r="AA19" s="97"/>
      <c r="AB19" s="90"/>
      <c r="AC19" s="62"/>
      <c r="AF19" s="80"/>
      <c r="AG19" s="80"/>
    </row>
    <row r="20" spans="1:33" s="63" customFormat="1" ht="30" customHeight="1" x14ac:dyDescent="0.3">
      <c r="A20" s="85" t="s">
        <v>60</v>
      </c>
      <c r="B20" s="86" t="s">
        <v>61</v>
      </c>
      <c r="C20" s="87"/>
      <c r="D20" s="88" t="s">
        <v>62</v>
      </c>
      <c r="E20" s="89"/>
      <c r="F20" s="90"/>
      <c r="G20" s="90"/>
      <c r="H20" s="90"/>
      <c r="I20" s="91"/>
      <c r="J20" s="92"/>
      <c r="K20" s="93"/>
      <c r="L20" s="90"/>
      <c r="M20" s="94"/>
      <c r="N20" s="89"/>
      <c r="O20" s="89"/>
      <c r="P20" s="95"/>
      <c r="Q20" s="96">
        <v>15000</v>
      </c>
      <c r="R20" s="69">
        <f>Q20/25*15</f>
        <v>9000</v>
      </c>
      <c r="S20" s="52">
        <v>0</v>
      </c>
      <c r="T20" s="82">
        <v>0</v>
      </c>
      <c r="U20" s="83">
        <v>0</v>
      </c>
      <c r="V20" s="69">
        <v>0</v>
      </c>
      <c r="W20" s="69">
        <v>0</v>
      </c>
      <c r="X20" s="59">
        <f t="shared" si="3"/>
        <v>9000</v>
      </c>
      <c r="Y20" s="76">
        <f t="shared" si="4"/>
        <v>6000</v>
      </c>
      <c r="Z20" s="97"/>
      <c r="AA20" s="97"/>
      <c r="AB20" s="90"/>
      <c r="AC20" s="62"/>
      <c r="AD20" s="63">
        <f>15000/25*10</f>
        <v>6000</v>
      </c>
      <c r="AF20" s="80"/>
      <c r="AG20" s="80"/>
    </row>
    <row r="21" spans="1:33" s="78" customFormat="1" ht="30" customHeight="1" x14ac:dyDescent="0.3">
      <c r="A21" s="98"/>
      <c r="B21" s="37" t="s">
        <v>63</v>
      </c>
      <c r="C21" s="66"/>
      <c r="D21" s="66"/>
      <c r="E21" s="68"/>
      <c r="F21" s="68"/>
      <c r="G21" s="68"/>
      <c r="H21" s="68"/>
      <c r="I21" s="68"/>
      <c r="J21" s="71"/>
      <c r="K21" s="68"/>
      <c r="L21" s="68"/>
      <c r="M21" s="68"/>
      <c r="N21" s="68"/>
      <c r="O21" s="68"/>
      <c r="P21" s="74"/>
      <c r="Q21" s="75"/>
      <c r="R21" s="68"/>
      <c r="S21" s="68"/>
      <c r="T21" s="68"/>
      <c r="U21" s="68"/>
      <c r="V21" s="68"/>
      <c r="W21" s="68"/>
      <c r="X21" s="99"/>
      <c r="Y21" s="76"/>
      <c r="Z21" s="68"/>
      <c r="AA21" s="68"/>
      <c r="AB21" s="69"/>
      <c r="AC21" s="69"/>
      <c r="AF21" s="70"/>
      <c r="AG21" s="70"/>
    </row>
    <row r="22" spans="1:33" s="63" customFormat="1" ht="30" customHeight="1" x14ac:dyDescent="0.3">
      <c r="A22" s="100">
        <v>10</v>
      </c>
      <c r="B22" s="48" t="s">
        <v>64</v>
      </c>
      <c r="C22" s="49"/>
      <c r="D22" s="88" t="s">
        <v>65</v>
      </c>
      <c r="E22" s="51">
        <v>23500</v>
      </c>
      <c r="F22" s="52"/>
      <c r="G22" s="52">
        <v>1000</v>
      </c>
      <c r="H22" s="52">
        <v>2500</v>
      </c>
      <c r="I22" s="51">
        <v>0</v>
      </c>
      <c r="J22" s="54">
        <f t="shared" si="2"/>
        <v>27000</v>
      </c>
      <c r="K22" s="51">
        <v>0</v>
      </c>
      <c r="L22" s="51">
        <v>5000</v>
      </c>
      <c r="M22" s="51">
        <f>43500+5000+7000</f>
        <v>55500</v>
      </c>
      <c r="N22" s="51">
        <v>2500</v>
      </c>
      <c r="O22" s="51">
        <v>10000</v>
      </c>
      <c r="P22" s="57">
        <f t="shared" ref="P22:P26" si="5">L22+M22+N22+O22+K22</f>
        <v>73000</v>
      </c>
      <c r="Q22" s="58">
        <f t="shared" ref="Q22:Q26" si="6">J22+P22</f>
        <v>100000</v>
      </c>
      <c r="R22" s="52">
        <v>0</v>
      </c>
      <c r="S22" s="101">
        <v>0</v>
      </c>
      <c r="T22" s="102">
        <v>0</v>
      </c>
      <c r="U22" s="103">
        <v>0</v>
      </c>
      <c r="V22" s="52">
        <v>0</v>
      </c>
      <c r="W22" s="101">
        <f>J22*8%</f>
        <v>2160</v>
      </c>
      <c r="X22" s="59">
        <f>R22+T22+U22+V22+W22+S22</f>
        <v>2160</v>
      </c>
      <c r="Y22" s="60">
        <f t="shared" si="4"/>
        <v>97840</v>
      </c>
      <c r="Z22" s="61">
        <f>J22*12%</f>
        <v>3240</v>
      </c>
      <c r="AA22" s="61">
        <f>J22*3%</f>
        <v>810</v>
      </c>
      <c r="AB22" s="52"/>
      <c r="AC22" s="62"/>
      <c r="AF22" s="80"/>
      <c r="AG22" s="80"/>
    </row>
    <row r="23" spans="1:33" s="63" customFormat="1" ht="30" customHeight="1" x14ac:dyDescent="0.3">
      <c r="A23" s="100">
        <v>11</v>
      </c>
      <c r="B23" s="65" t="s">
        <v>66</v>
      </c>
      <c r="C23" s="66"/>
      <c r="D23" s="81" t="s">
        <v>67</v>
      </c>
      <c r="E23" s="68">
        <v>23500</v>
      </c>
      <c r="F23" s="69"/>
      <c r="G23" s="69">
        <v>1000</v>
      </c>
      <c r="H23" s="69">
        <v>2500</v>
      </c>
      <c r="I23" s="68">
        <v>0</v>
      </c>
      <c r="J23" s="71">
        <f t="shared" si="2"/>
        <v>27000</v>
      </c>
      <c r="K23" s="68">
        <v>0</v>
      </c>
      <c r="L23" s="68">
        <v>5000</v>
      </c>
      <c r="M23" s="68">
        <f>53500+5000+7000</f>
        <v>65500</v>
      </c>
      <c r="N23" s="68">
        <v>2500</v>
      </c>
      <c r="O23" s="68">
        <v>10000</v>
      </c>
      <c r="P23" s="74">
        <f t="shared" si="5"/>
        <v>83000</v>
      </c>
      <c r="Q23" s="75">
        <f t="shared" si="6"/>
        <v>110000</v>
      </c>
      <c r="R23" s="69">
        <v>0</v>
      </c>
      <c r="S23" s="83">
        <v>0</v>
      </c>
      <c r="T23" s="82">
        <v>0</v>
      </c>
      <c r="U23" s="83">
        <v>0</v>
      </c>
      <c r="V23" s="69">
        <v>0</v>
      </c>
      <c r="W23" s="101">
        <f>J23*8%</f>
        <v>2160</v>
      </c>
      <c r="X23" s="59">
        <f t="shared" ref="X23:X27" si="7">R23+T23+U23+V23+W23+S23</f>
        <v>2160</v>
      </c>
      <c r="Y23" s="76">
        <f t="shared" si="4"/>
        <v>107840</v>
      </c>
      <c r="Z23" s="61">
        <f>J23*12%</f>
        <v>3240</v>
      </c>
      <c r="AA23" s="61">
        <f>J23*3%</f>
        <v>810</v>
      </c>
      <c r="AB23" s="69"/>
      <c r="AC23" s="62"/>
      <c r="AF23" s="80"/>
      <c r="AG23" s="80"/>
    </row>
    <row r="24" spans="1:33" s="63" customFormat="1" ht="30" customHeight="1" x14ac:dyDescent="0.3">
      <c r="A24" s="100">
        <v>12</v>
      </c>
      <c r="B24" s="65" t="s">
        <v>68</v>
      </c>
      <c r="C24" s="66"/>
      <c r="D24" s="81" t="s">
        <v>69</v>
      </c>
      <c r="E24" s="68">
        <v>23500</v>
      </c>
      <c r="F24" s="69"/>
      <c r="G24" s="69">
        <v>1000</v>
      </c>
      <c r="H24" s="69">
        <v>2500</v>
      </c>
      <c r="I24" s="68">
        <v>0</v>
      </c>
      <c r="J24" s="71">
        <f t="shared" si="2"/>
        <v>27000</v>
      </c>
      <c r="K24" s="68">
        <v>0</v>
      </c>
      <c r="L24" s="68">
        <v>5000</v>
      </c>
      <c r="M24" s="68">
        <f>13500+5000+7000</f>
        <v>25500</v>
      </c>
      <c r="N24" s="68">
        <v>2500</v>
      </c>
      <c r="O24" s="68">
        <v>10000</v>
      </c>
      <c r="P24" s="74">
        <f t="shared" si="5"/>
        <v>43000</v>
      </c>
      <c r="Q24" s="75">
        <f t="shared" si="6"/>
        <v>70000</v>
      </c>
      <c r="R24" s="69">
        <v>0</v>
      </c>
      <c r="S24" s="83">
        <v>0</v>
      </c>
      <c r="T24" s="82">
        <v>0</v>
      </c>
      <c r="U24" s="83">
        <v>0</v>
      </c>
      <c r="V24" s="69">
        <v>0</v>
      </c>
      <c r="W24" s="83">
        <v>0</v>
      </c>
      <c r="X24" s="59">
        <f t="shared" si="7"/>
        <v>0</v>
      </c>
      <c r="Y24" s="76">
        <f t="shared" si="4"/>
        <v>70000</v>
      </c>
      <c r="Z24" s="77">
        <v>0</v>
      </c>
      <c r="AA24" s="77">
        <v>0</v>
      </c>
      <c r="AB24" s="69"/>
      <c r="AC24" s="62"/>
      <c r="AF24" s="80"/>
      <c r="AG24" s="80"/>
    </row>
    <row r="25" spans="1:33" s="63" customFormat="1" ht="30" customHeight="1" x14ac:dyDescent="0.3">
      <c r="A25" s="100">
        <v>14</v>
      </c>
      <c r="B25" s="86" t="s">
        <v>70</v>
      </c>
      <c r="C25" s="87"/>
      <c r="D25" s="88" t="s">
        <v>71</v>
      </c>
      <c r="E25" s="89">
        <v>23500</v>
      </c>
      <c r="F25" s="90"/>
      <c r="G25" s="90">
        <v>1000</v>
      </c>
      <c r="H25" s="90">
        <v>2500</v>
      </c>
      <c r="I25" s="89">
        <v>0</v>
      </c>
      <c r="J25" s="92">
        <f t="shared" si="2"/>
        <v>27000</v>
      </c>
      <c r="K25" s="89">
        <v>0</v>
      </c>
      <c r="L25" s="89">
        <v>5000</v>
      </c>
      <c r="M25" s="89">
        <f>8500+5000+2500</f>
        <v>16000</v>
      </c>
      <c r="N25" s="89">
        <v>0</v>
      </c>
      <c r="O25" s="89">
        <f>4500+2500</f>
        <v>7000</v>
      </c>
      <c r="P25" s="95">
        <f t="shared" si="5"/>
        <v>28000</v>
      </c>
      <c r="Q25" s="96">
        <f t="shared" si="6"/>
        <v>55000</v>
      </c>
      <c r="R25" s="90">
        <v>0</v>
      </c>
      <c r="S25" s="104">
        <v>0</v>
      </c>
      <c r="T25" s="105">
        <v>0</v>
      </c>
      <c r="U25" s="104">
        <v>0</v>
      </c>
      <c r="V25" s="90">
        <v>0</v>
      </c>
      <c r="W25" s="104">
        <f>J25*8%</f>
        <v>2160</v>
      </c>
      <c r="X25" s="59">
        <f t="shared" si="7"/>
        <v>2160</v>
      </c>
      <c r="Y25" s="106">
        <f t="shared" si="4"/>
        <v>52840</v>
      </c>
      <c r="Z25" s="97">
        <f>J25*12%</f>
        <v>3240</v>
      </c>
      <c r="AA25" s="97">
        <f>J25*3%</f>
        <v>810</v>
      </c>
      <c r="AB25" s="90"/>
      <c r="AC25" s="62"/>
      <c r="AF25" s="80"/>
      <c r="AG25" s="80"/>
    </row>
    <row r="26" spans="1:33" s="63" customFormat="1" ht="30" customHeight="1" x14ac:dyDescent="0.3">
      <c r="A26" s="100" t="s">
        <v>72</v>
      </c>
      <c r="B26" s="86" t="s">
        <v>73</v>
      </c>
      <c r="C26" s="87"/>
      <c r="D26" s="88" t="s">
        <v>74</v>
      </c>
      <c r="E26" s="89">
        <v>23500</v>
      </c>
      <c r="F26" s="90"/>
      <c r="G26" s="90">
        <v>1000</v>
      </c>
      <c r="H26" s="90">
        <v>2500</v>
      </c>
      <c r="I26" s="89"/>
      <c r="J26" s="92">
        <f t="shared" si="2"/>
        <v>27000</v>
      </c>
      <c r="K26" s="89">
        <v>0</v>
      </c>
      <c r="L26" s="68">
        <v>5000</v>
      </c>
      <c r="M26" s="68">
        <f>13500+5000+7000</f>
        <v>25500</v>
      </c>
      <c r="N26" s="68">
        <v>2500</v>
      </c>
      <c r="O26" s="68">
        <v>10000</v>
      </c>
      <c r="P26" s="95">
        <f t="shared" si="5"/>
        <v>43000</v>
      </c>
      <c r="Q26" s="96">
        <f t="shared" si="6"/>
        <v>70000</v>
      </c>
      <c r="R26" s="90">
        <f>Q26/25*14</f>
        <v>39200</v>
      </c>
      <c r="S26" s="104">
        <v>0</v>
      </c>
      <c r="T26" s="105">
        <v>0</v>
      </c>
      <c r="U26" s="104">
        <v>0</v>
      </c>
      <c r="V26" s="90">
        <v>0</v>
      </c>
      <c r="W26" s="104">
        <v>0</v>
      </c>
      <c r="X26" s="59">
        <f t="shared" si="7"/>
        <v>39200</v>
      </c>
      <c r="Y26" s="106">
        <f t="shared" si="4"/>
        <v>30800</v>
      </c>
      <c r="Z26" s="97">
        <v>0</v>
      </c>
      <c r="AA26" s="97">
        <v>0</v>
      </c>
      <c r="AB26" s="90"/>
      <c r="AC26" s="62"/>
      <c r="AF26" s="80"/>
      <c r="AG26" s="80"/>
    </row>
    <row r="27" spans="1:33" s="63" customFormat="1" ht="30" customHeight="1" x14ac:dyDescent="0.3">
      <c r="A27" s="100" t="s">
        <v>72</v>
      </c>
      <c r="B27" s="86" t="s">
        <v>75</v>
      </c>
      <c r="C27" s="87"/>
      <c r="D27" s="88" t="s">
        <v>76</v>
      </c>
      <c r="E27" s="89">
        <v>0</v>
      </c>
      <c r="F27" s="90"/>
      <c r="G27" s="90">
        <v>0</v>
      </c>
      <c r="H27" s="90">
        <v>0</v>
      </c>
      <c r="I27" s="89"/>
      <c r="J27" s="92">
        <f t="shared" si="2"/>
        <v>0</v>
      </c>
      <c r="K27" s="89">
        <v>0</v>
      </c>
      <c r="L27" s="68"/>
      <c r="M27" s="68"/>
      <c r="N27" s="68"/>
      <c r="O27" s="68"/>
      <c r="P27" s="95"/>
      <c r="Q27" s="96">
        <v>30000</v>
      </c>
      <c r="R27" s="90">
        <v>0</v>
      </c>
      <c r="S27" s="104">
        <v>0</v>
      </c>
      <c r="T27" s="105">
        <v>0</v>
      </c>
      <c r="U27" s="104">
        <v>0</v>
      </c>
      <c r="V27" s="90">
        <v>0</v>
      </c>
      <c r="W27" s="104">
        <v>0</v>
      </c>
      <c r="X27" s="59">
        <f t="shared" si="7"/>
        <v>0</v>
      </c>
      <c r="Y27" s="106">
        <f t="shared" si="4"/>
        <v>30000</v>
      </c>
      <c r="Z27" s="97"/>
      <c r="AA27" s="97"/>
      <c r="AB27" s="90"/>
      <c r="AC27" s="62"/>
      <c r="AF27" s="80"/>
      <c r="AG27" s="80"/>
    </row>
    <row r="28" spans="1:33" s="78" customFormat="1" ht="30" customHeight="1" x14ac:dyDescent="0.3">
      <c r="A28" s="98"/>
      <c r="B28" s="37" t="s">
        <v>77</v>
      </c>
      <c r="C28" s="66"/>
      <c r="D28" s="66"/>
      <c r="E28" s="68"/>
      <c r="F28" s="69"/>
      <c r="G28" s="69"/>
      <c r="H28" s="69"/>
      <c r="I28" s="68"/>
      <c r="J28" s="71"/>
      <c r="K28" s="68"/>
      <c r="L28" s="68"/>
      <c r="M28" s="68"/>
      <c r="N28" s="68"/>
      <c r="O28" s="68"/>
      <c r="P28" s="74"/>
      <c r="Q28" s="75"/>
      <c r="R28" s="68"/>
      <c r="S28" s="68"/>
      <c r="T28" s="68"/>
      <c r="U28" s="69"/>
      <c r="V28" s="69"/>
      <c r="W28" s="69"/>
      <c r="X28" s="99"/>
      <c r="Y28" s="76"/>
      <c r="Z28" s="77"/>
      <c r="AA28" s="77"/>
      <c r="AB28" s="69"/>
      <c r="AC28" s="69"/>
      <c r="AF28" s="70"/>
      <c r="AG28" s="70"/>
    </row>
    <row r="29" spans="1:33" s="63" customFormat="1" ht="30" customHeight="1" x14ac:dyDescent="0.3">
      <c r="A29" s="100" t="s">
        <v>78</v>
      </c>
      <c r="B29" s="48" t="s">
        <v>79</v>
      </c>
      <c r="C29" s="49"/>
      <c r="D29" s="107" t="s">
        <v>80</v>
      </c>
      <c r="E29" s="51">
        <v>0</v>
      </c>
      <c r="F29" s="52"/>
      <c r="G29" s="52">
        <v>0</v>
      </c>
      <c r="H29" s="52">
        <v>0</v>
      </c>
      <c r="I29" s="51">
        <v>0</v>
      </c>
      <c r="J29" s="54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7">
        <v>0</v>
      </c>
      <c r="Q29" s="58">
        <v>30000</v>
      </c>
      <c r="R29" s="102">
        <v>0</v>
      </c>
      <c r="S29" s="102">
        <v>0</v>
      </c>
      <c r="T29" s="102">
        <v>0</v>
      </c>
      <c r="U29" s="101">
        <v>0</v>
      </c>
      <c r="V29" s="52">
        <v>0</v>
      </c>
      <c r="W29" s="101">
        <v>0</v>
      </c>
      <c r="X29" s="59">
        <f>R29+T29+U29+V29+W29+S29</f>
        <v>0</v>
      </c>
      <c r="Y29" s="60">
        <f t="shared" si="4"/>
        <v>30000</v>
      </c>
      <c r="Z29" s="61">
        <v>0</v>
      </c>
      <c r="AA29" s="61">
        <v>0</v>
      </c>
      <c r="AB29" s="52"/>
      <c r="AC29" s="62"/>
      <c r="AF29" s="80"/>
      <c r="AG29" s="80"/>
    </row>
    <row r="30" spans="1:33" s="63" customFormat="1" ht="30" customHeight="1" x14ac:dyDescent="0.3">
      <c r="A30" s="108" t="s">
        <v>81</v>
      </c>
      <c r="B30" s="65" t="s">
        <v>82</v>
      </c>
      <c r="C30" s="66"/>
      <c r="D30" s="107" t="s">
        <v>80</v>
      </c>
      <c r="E30" s="68">
        <v>0</v>
      </c>
      <c r="F30" s="69"/>
      <c r="G30" s="69">
        <v>0</v>
      </c>
      <c r="H30" s="69">
        <v>0</v>
      </c>
      <c r="I30" s="68">
        <v>0</v>
      </c>
      <c r="J30" s="71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74">
        <v>0</v>
      </c>
      <c r="Q30" s="75">
        <v>30000</v>
      </c>
      <c r="R30" s="82">
        <v>0</v>
      </c>
      <c r="S30" s="82">
        <v>0</v>
      </c>
      <c r="T30" s="82">
        <v>0</v>
      </c>
      <c r="U30" s="83">
        <v>0</v>
      </c>
      <c r="V30" s="69">
        <v>0</v>
      </c>
      <c r="W30" s="83">
        <v>0</v>
      </c>
      <c r="X30" s="59">
        <f t="shared" ref="X30:X33" si="8">R30+T30+U30+V30+W30+S30</f>
        <v>0</v>
      </c>
      <c r="Y30" s="76">
        <f t="shared" si="4"/>
        <v>30000</v>
      </c>
      <c r="Z30" s="77">
        <v>0</v>
      </c>
      <c r="AA30" s="77">
        <v>0</v>
      </c>
      <c r="AB30" s="69"/>
      <c r="AC30" s="62"/>
      <c r="AF30" s="80"/>
      <c r="AG30" s="80"/>
    </row>
    <row r="31" spans="1:33" s="63" customFormat="1" ht="30" customHeight="1" x14ac:dyDescent="0.3">
      <c r="A31" s="108" t="s">
        <v>83</v>
      </c>
      <c r="B31" s="65" t="s">
        <v>84</v>
      </c>
      <c r="C31" s="66"/>
      <c r="D31" s="107" t="s">
        <v>80</v>
      </c>
      <c r="E31" s="68">
        <v>0</v>
      </c>
      <c r="F31" s="69"/>
      <c r="G31" s="69">
        <v>0</v>
      </c>
      <c r="H31" s="69">
        <v>0</v>
      </c>
      <c r="I31" s="68">
        <v>0</v>
      </c>
      <c r="J31" s="71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74">
        <v>0</v>
      </c>
      <c r="Q31" s="75">
        <v>30000</v>
      </c>
      <c r="R31" s="82">
        <v>0</v>
      </c>
      <c r="S31" s="82">
        <v>0</v>
      </c>
      <c r="T31" s="82">
        <v>0</v>
      </c>
      <c r="U31" s="83">
        <v>0</v>
      </c>
      <c r="V31" s="69">
        <v>0</v>
      </c>
      <c r="W31" s="83">
        <v>0</v>
      </c>
      <c r="X31" s="59">
        <f t="shared" si="8"/>
        <v>0</v>
      </c>
      <c r="Y31" s="76">
        <f t="shared" si="4"/>
        <v>30000</v>
      </c>
      <c r="Z31" s="77">
        <v>0</v>
      </c>
      <c r="AA31" s="77">
        <v>0</v>
      </c>
      <c r="AB31" s="69"/>
      <c r="AC31" s="62"/>
      <c r="AF31" s="80"/>
      <c r="AG31" s="80"/>
    </row>
    <row r="32" spans="1:33" s="63" customFormat="1" ht="30" customHeight="1" x14ac:dyDescent="0.3">
      <c r="A32" s="108" t="s">
        <v>85</v>
      </c>
      <c r="B32" s="65" t="s">
        <v>86</v>
      </c>
      <c r="C32" s="66"/>
      <c r="D32" s="107" t="s">
        <v>80</v>
      </c>
      <c r="E32" s="68">
        <v>0</v>
      </c>
      <c r="F32" s="69"/>
      <c r="G32" s="69">
        <v>0</v>
      </c>
      <c r="H32" s="69">
        <v>0</v>
      </c>
      <c r="I32" s="68">
        <v>0</v>
      </c>
      <c r="J32" s="71">
        <v>0</v>
      </c>
      <c r="K32" s="68">
        <v>0</v>
      </c>
      <c r="L32" s="68">
        <v>0</v>
      </c>
      <c r="M32" s="68">
        <v>0</v>
      </c>
      <c r="N32" s="68">
        <v>0</v>
      </c>
      <c r="O32" s="68">
        <v>0</v>
      </c>
      <c r="P32" s="74">
        <v>0</v>
      </c>
      <c r="Q32" s="75">
        <v>25000</v>
      </c>
      <c r="R32" s="82">
        <v>0</v>
      </c>
      <c r="S32" s="82">
        <v>0</v>
      </c>
      <c r="T32" s="82">
        <v>0</v>
      </c>
      <c r="U32" s="83">
        <v>0</v>
      </c>
      <c r="V32" s="69">
        <v>0</v>
      </c>
      <c r="W32" s="83">
        <v>0</v>
      </c>
      <c r="X32" s="59">
        <f t="shared" si="8"/>
        <v>0</v>
      </c>
      <c r="Y32" s="76">
        <f t="shared" si="4"/>
        <v>25000</v>
      </c>
      <c r="Z32" s="77">
        <v>0</v>
      </c>
      <c r="AA32" s="77">
        <v>0</v>
      </c>
      <c r="AB32" s="69"/>
      <c r="AC32" s="62"/>
      <c r="AF32" s="80"/>
      <c r="AG32" s="80"/>
    </row>
    <row r="33" spans="1:35" s="63" customFormat="1" ht="30" customHeight="1" x14ac:dyDescent="0.3">
      <c r="A33" s="108" t="s">
        <v>87</v>
      </c>
      <c r="B33" s="65" t="s">
        <v>88</v>
      </c>
      <c r="C33" s="66"/>
      <c r="D33" s="107" t="s">
        <v>80</v>
      </c>
      <c r="E33" s="68">
        <v>0</v>
      </c>
      <c r="F33" s="69"/>
      <c r="G33" s="69">
        <v>0</v>
      </c>
      <c r="H33" s="69">
        <v>0</v>
      </c>
      <c r="I33" s="68"/>
      <c r="J33" s="71"/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74">
        <v>0</v>
      </c>
      <c r="Q33" s="75">
        <v>60000</v>
      </c>
      <c r="R33" s="82">
        <v>0</v>
      </c>
      <c r="S33" s="82">
        <v>0</v>
      </c>
      <c r="T33" s="82">
        <v>0</v>
      </c>
      <c r="U33" s="83">
        <v>0</v>
      </c>
      <c r="V33" s="69">
        <v>0</v>
      </c>
      <c r="W33" s="83">
        <v>0</v>
      </c>
      <c r="X33" s="59">
        <f t="shared" si="8"/>
        <v>0</v>
      </c>
      <c r="Y33" s="76">
        <f t="shared" si="4"/>
        <v>60000</v>
      </c>
      <c r="Z33" s="77">
        <v>0</v>
      </c>
      <c r="AA33" s="77">
        <v>0</v>
      </c>
      <c r="AB33" s="69"/>
      <c r="AC33" s="62"/>
      <c r="AF33" s="80"/>
      <c r="AG33" s="80"/>
    </row>
    <row r="34" spans="1:35" s="115" customFormat="1" ht="15.65" customHeight="1" thickBot="1" x14ac:dyDescent="0.35">
      <c r="A34" s="109"/>
      <c r="B34" s="110"/>
      <c r="C34" s="111"/>
      <c r="D34" s="110"/>
      <c r="E34" s="112">
        <f>SUM(E8:E33)</f>
        <v>376000</v>
      </c>
      <c r="F34" s="112">
        <f>SUM(F8:F32)</f>
        <v>0</v>
      </c>
      <c r="G34" s="112">
        <f>SUM(G8:G33)</f>
        <v>16000</v>
      </c>
      <c r="H34" s="112">
        <f>SUM(H8:H33)</f>
        <v>40000</v>
      </c>
      <c r="I34" s="112">
        <f>SUM(I8:I32)</f>
        <v>0</v>
      </c>
      <c r="J34" s="112">
        <f t="shared" ref="J34:AA34" si="9">SUM(J8:J33)</f>
        <v>432000</v>
      </c>
      <c r="K34" s="112">
        <f t="shared" si="9"/>
        <v>13200</v>
      </c>
      <c r="L34" s="112">
        <f t="shared" si="9"/>
        <v>88000</v>
      </c>
      <c r="M34" s="112">
        <f t="shared" si="9"/>
        <v>496000</v>
      </c>
      <c r="N34" s="112">
        <f t="shared" si="9"/>
        <v>42500</v>
      </c>
      <c r="O34" s="112">
        <f t="shared" si="9"/>
        <v>161500</v>
      </c>
      <c r="P34" s="112">
        <f t="shared" si="9"/>
        <v>801200</v>
      </c>
      <c r="Q34" s="112">
        <f t="shared" si="9"/>
        <v>1488200</v>
      </c>
      <c r="R34" s="112">
        <f t="shared" si="9"/>
        <v>48200</v>
      </c>
      <c r="S34" s="112">
        <f t="shared" si="9"/>
        <v>5880</v>
      </c>
      <c r="T34" s="112">
        <f t="shared" si="9"/>
        <v>20000</v>
      </c>
      <c r="U34" s="112">
        <f t="shared" si="9"/>
        <v>50000</v>
      </c>
      <c r="V34" s="112">
        <f t="shared" si="9"/>
        <v>0</v>
      </c>
      <c r="W34" s="112">
        <f t="shared" si="9"/>
        <v>19440</v>
      </c>
      <c r="X34" s="112">
        <f t="shared" si="9"/>
        <v>143520</v>
      </c>
      <c r="Y34" s="112">
        <f t="shared" si="9"/>
        <v>1344680</v>
      </c>
      <c r="Z34" s="112">
        <f t="shared" si="9"/>
        <v>29160</v>
      </c>
      <c r="AA34" s="112">
        <f t="shared" si="9"/>
        <v>7290</v>
      </c>
      <c r="AB34" s="113">
        <f>SUM(AB8:AB25)</f>
        <v>0</v>
      </c>
      <c r="AC34" s="114"/>
      <c r="AF34" s="116"/>
      <c r="AG34" s="116"/>
    </row>
    <row r="35" spans="1:35" s="122" customFormat="1" ht="8.5" customHeight="1" thickTop="1" x14ac:dyDescent="0.3">
      <c r="A35" s="117"/>
      <c r="B35" s="118"/>
      <c r="C35" s="119"/>
      <c r="D35" s="118"/>
      <c r="E35" s="120"/>
      <c r="F35" s="120"/>
      <c r="G35" s="120"/>
      <c r="H35" s="120"/>
      <c r="I35" s="120"/>
      <c r="J35" s="121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F35" s="123"/>
      <c r="AG35" s="123"/>
      <c r="AI35" s="124"/>
    </row>
    <row r="36" spans="1:35" s="122" customFormat="1" x14ac:dyDescent="0.3">
      <c r="A36" s="117"/>
      <c r="B36" s="118"/>
      <c r="C36" s="119"/>
      <c r="D36" s="118"/>
      <c r="E36" s="120"/>
      <c r="F36" s="120"/>
      <c r="G36" s="120"/>
      <c r="H36" s="120"/>
      <c r="I36" s="120"/>
      <c r="J36" s="121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  <c r="AF36" s="123"/>
      <c r="AG36" s="123"/>
      <c r="AI36" s="124"/>
    </row>
    <row r="37" spans="1:35" s="122" customFormat="1" ht="14.5" x14ac:dyDescent="0.35">
      <c r="A37" s="117"/>
      <c r="B37" s="118"/>
      <c r="C37" s="119"/>
      <c r="D37" s="118"/>
      <c r="E37" s="120"/>
      <c r="F37" s="120"/>
      <c r="G37" s="120"/>
      <c r="H37" s="125" t="s">
        <v>89</v>
      </c>
      <c r="I37" s="120"/>
      <c r="J37" s="121"/>
      <c r="K37" s="120"/>
      <c r="L37" s="120"/>
      <c r="M37" s="120"/>
      <c r="N37" s="126" t="s">
        <v>90</v>
      </c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F37" s="123"/>
      <c r="AG37" s="123"/>
      <c r="AI37" s="124"/>
    </row>
    <row r="38" spans="1:35" s="122" customFormat="1" x14ac:dyDescent="0.3">
      <c r="B38" s="124"/>
      <c r="C38" s="127"/>
      <c r="D38" s="128"/>
      <c r="E38" s="120"/>
      <c r="F38" s="120"/>
      <c r="G38" s="120"/>
      <c r="H38" s="120"/>
      <c r="I38" s="120"/>
      <c r="J38" s="121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F38" s="123"/>
      <c r="AG38" s="123"/>
      <c r="AI38" s="124"/>
    </row>
    <row r="39" spans="1:35" s="129" customFormat="1" ht="14.5" x14ac:dyDescent="0.35">
      <c r="E39" s="130"/>
      <c r="F39" s="130"/>
      <c r="G39" s="130"/>
      <c r="H39" s="130"/>
      <c r="I39" s="130"/>
      <c r="J39" s="131"/>
      <c r="L39" s="130"/>
      <c r="M39" s="130"/>
      <c r="N39" s="130"/>
      <c r="O39" s="130"/>
      <c r="P39" s="130"/>
      <c r="Q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2"/>
      <c r="AF39" s="133"/>
      <c r="AG39" s="133"/>
      <c r="AI39" s="134"/>
    </row>
    <row r="40" spans="1:35" s="129" customFormat="1" ht="14.5" x14ac:dyDescent="0.35">
      <c r="E40" s="130"/>
      <c r="F40" s="130"/>
      <c r="G40" s="130"/>
      <c r="H40" s="130"/>
      <c r="I40" s="130"/>
      <c r="J40" s="131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F40" s="133"/>
      <c r="AG40" s="133"/>
      <c r="AI40" s="134"/>
    </row>
    <row r="41" spans="1:35" s="129" customFormat="1" ht="14.5" x14ac:dyDescent="0.35">
      <c r="B41" s="63"/>
      <c r="D41" s="135"/>
      <c r="E41" s="130"/>
      <c r="F41" s="130"/>
      <c r="G41" s="130"/>
      <c r="H41" s="130"/>
      <c r="I41" s="130"/>
      <c r="J41" s="131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F41" s="133"/>
      <c r="AG41" s="133"/>
      <c r="AI41" s="134"/>
    </row>
  </sheetData>
  <mergeCells count="30">
    <mergeCell ref="A1:B1"/>
    <mergeCell ref="A2:B2"/>
    <mergeCell ref="A3:B3"/>
    <mergeCell ref="A4:B4"/>
    <mergeCell ref="K4:P4"/>
    <mergeCell ref="S5:S6"/>
    <mergeCell ref="Z4:AA4"/>
    <mergeCell ref="A5:A6"/>
    <mergeCell ref="B5:B6"/>
    <mergeCell ref="C5:C6"/>
    <mergeCell ref="D5:D6"/>
    <mergeCell ref="E5:E6"/>
    <mergeCell ref="I5:I6"/>
    <mergeCell ref="K5:K6"/>
    <mergeCell ref="L5:L6"/>
    <mergeCell ref="M5:M6"/>
    <mergeCell ref="R4:X4"/>
    <mergeCell ref="N5:N6"/>
    <mergeCell ref="O5:O6"/>
    <mergeCell ref="P5:P6"/>
    <mergeCell ref="Q5:Q6"/>
    <mergeCell ref="R5:R6"/>
    <mergeCell ref="Z5:Z6"/>
    <mergeCell ref="AA5:AA6"/>
    <mergeCell ref="T5:T6"/>
    <mergeCell ref="U5:U6"/>
    <mergeCell ref="V5:V6"/>
    <mergeCell ref="W5:W6"/>
    <mergeCell ref="X5:X6"/>
    <mergeCell ref="Y5:Y6"/>
  </mergeCells>
  <printOptions gridLines="1"/>
  <pageMargins left="0.39" right="0.17" top="0.32" bottom="0.75" header="0.3" footer="0.3"/>
  <pageSetup paperSize="9" scale="45" orientation="landscape" horizontalDpi="4294967294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Salary June 2025 (5)</vt:lpstr>
      <vt:lpstr>'Salary June 2025 (5)'!Print_Area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Daily Food</dc:creator>
  <cp:lastModifiedBy>Your Daily Food</cp:lastModifiedBy>
  <dcterms:created xsi:type="dcterms:W3CDTF">2025-06-27T11:27:41Z</dcterms:created>
  <dcterms:modified xsi:type="dcterms:W3CDTF">2025-06-27T11:29:17Z</dcterms:modified>
</cp:coreProperties>
</file>