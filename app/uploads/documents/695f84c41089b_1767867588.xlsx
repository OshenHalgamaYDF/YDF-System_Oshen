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Your Daily Foods\Desktop\BACKUP\UTHPALA DOCS\YDF OTHER DOCS\"/>
    </mc:Choice>
  </mc:AlternateContent>
  <xr:revisionPtr revIDLastSave="0" documentId="13_ncr:1_{A43E6737-E47F-4383-A69B-152D19CE69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NDB 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2" i="1" l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27" i="1"/>
  <c r="G128" i="1" s="1"/>
  <c r="G129" i="1" s="1"/>
  <c r="G130" i="1" s="1"/>
  <c r="G131" i="1" s="1"/>
  <c r="G132" i="1" s="1"/>
  <c r="G133" i="1" s="1"/>
  <c r="G134" i="1" s="1"/>
  <c r="G113" i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M95" i="1"/>
  <c r="G100" i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G73" i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46" i="1" l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23" i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6" i="1" s="1"/>
  <c r="G37" i="1" s="1"/>
  <c r="G38" i="1" s="1"/>
  <c r="G39" i="1" s="1"/>
  <c r="G40" i="1" s="1"/>
  <c r="G41" i="1" s="1"/>
  <c r="G42" i="1" s="1"/>
  <c r="G43" i="1" s="1"/>
  <c r="G44" i="1" s="1"/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</calcChain>
</file>

<file path=xl/sharedStrings.xml><?xml version="1.0" encoding="utf-8"?>
<sst xmlns="http://schemas.openxmlformats.org/spreadsheetml/2006/main" count="182" uniqueCount="106">
  <si>
    <t>Date</t>
  </si>
  <si>
    <t>Amount</t>
  </si>
  <si>
    <t>Paid to</t>
  </si>
  <si>
    <t>Received amount</t>
  </si>
  <si>
    <t>Balance</t>
  </si>
  <si>
    <t>Rikas</t>
  </si>
  <si>
    <t>Yashoda</t>
  </si>
  <si>
    <t>Shipment date</t>
  </si>
  <si>
    <t>Remarks</t>
  </si>
  <si>
    <t>Malith</t>
  </si>
  <si>
    <t>OP shop</t>
  </si>
  <si>
    <t>13 A socket</t>
  </si>
  <si>
    <t>170 wiring</t>
  </si>
  <si>
    <t>Cleaning</t>
  </si>
  <si>
    <t xml:space="preserve">Malith Transport </t>
  </si>
  <si>
    <t>Chamika (N Cap and clay)</t>
  </si>
  <si>
    <t>receiving</t>
  </si>
  <si>
    <t>Buddhika</t>
  </si>
  <si>
    <t>13A puse</t>
  </si>
  <si>
    <t>went CF and handover offel</t>
  </si>
  <si>
    <t>for maintenace</t>
  </si>
  <si>
    <t>Sugar and biscuit</t>
  </si>
  <si>
    <t>Milk powder</t>
  </si>
  <si>
    <t>To Layo</t>
  </si>
  <si>
    <t>Buddika</t>
  </si>
  <si>
    <t>324 from uthpala</t>
  </si>
  <si>
    <t>Maintenance</t>
  </si>
  <si>
    <t>Uthpala</t>
  </si>
  <si>
    <t>Biscuit</t>
  </si>
  <si>
    <t>Courior (spices)</t>
  </si>
  <si>
    <t>sunbox, nuts , ole plugs and labor cost</t>
  </si>
  <si>
    <t>Sugar and vim</t>
  </si>
  <si>
    <t>Mihiran  gave</t>
  </si>
  <si>
    <t>Akka</t>
  </si>
  <si>
    <t>Chamali</t>
  </si>
  <si>
    <t>Isuri</t>
  </si>
  <si>
    <t>milk powder</t>
  </si>
  <si>
    <t>02/11 receiving</t>
  </si>
  <si>
    <t>Duhani</t>
  </si>
  <si>
    <t>Reason</t>
  </si>
  <si>
    <t>Milk powder, sugar, biscuit, tea</t>
  </si>
  <si>
    <t>For order</t>
  </si>
  <si>
    <t>Rikas phone bill</t>
  </si>
  <si>
    <t>uthpala phone bill</t>
  </si>
  <si>
    <t>Courior</t>
  </si>
  <si>
    <t>200 with rikas</t>
  </si>
  <si>
    <t>Bus ticket</t>
  </si>
  <si>
    <t>pick me 1</t>
  </si>
  <si>
    <t xml:space="preserve">youghrt drink </t>
  </si>
  <si>
    <t>pick me 2</t>
  </si>
  <si>
    <t>pick me 3</t>
  </si>
  <si>
    <t>papisi</t>
  </si>
  <si>
    <t>Head set</t>
  </si>
  <si>
    <t>Meal</t>
  </si>
  <si>
    <t>Bill 1 (P N Traders)</t>
  </si>
  <si>
    <t>Bill 2 (P N Traders)</t>
  </si>
  <si>
    <t>Bill 3</t>
  </si>
  <si>
    <t>3 wheel</t>
  </si>
  <si>
    <t>Fuel</t>
  </si>
  <si>
    <t>Duhani (Bus ticket and meal)</t>
  </si>
  <si>
    <t>Have to give Uthpala</t>
  </si>
  <si>
    <t xml:space="preserve">Colombo </t>
  </si>
  <si>
    <t>Colombo</t>
  </si>
  <si>
    <t>Esala</t>
  </si>
  <si>
    <t>Corior charges</t>
  </si>
  <si>
    <t xml:space="preserve">Rikas </t>
  </si>
  <si>
    <t>Coffee</t>
  </si>
  <si>
    <t>01/12/24 production</t>
  </si>
  <si>
    <t>Milk powder and busicut</t>
  </si>
  <si>
    <t>NDB card</t>
  </si>
  <si>
    <t>pick me transfer</t>
  </si>
  <si>
    <t>Sticker</t>
  </si>
  <si>
    <t>Breakfast to vedio guys</t>
  </si>
  <si>
    <t>Current bills</t>
  </si>
  <si>
    <t>Pick me- EPF</t>
  </si>
  <si>
    <t>Seal advance - FGF</t>
  </si>
  <si>
    <t>Cutting the stickers</t>
  </si>
  <si>
    <t>seal balance FGF</t>
  </si>
  <si>
    <t>Uthpala (get the seal)</t>
  </si>
  <si>
    <t>Phone bill</t>
  </si>
  <si>
    <t>3 phone bill</t>
  </si>
  <si>
    <t>ekala- colombo</t>
  </si>
  <si>
    <t>Colombo- sharik place</t>
  </si>
  <si>
    <t>sharik place colombo</t>
  </si>
  <si>
    <t>colombo- jaela</t>
  </si>
  <si>
    <t>jaela- ekala (phone shop)</t>
  </si>
  <si>
    <t>choclate- thilanka</t>
  </si>
  <si>
    <t xml:space="preserve">greeting card </t>
  </si>
  <si>
    <t>rikas</t>
  </si>
  <si>
    <t>cake</t>
  </si>
  <si>
    <t>duhani (red snapper)</t>
  </si>
  <si>
    <t>bill 1 (senanayake)</t>
  </si>
  <si>
    <t>Bill 2 (cargils)</t>
  </si>
  <si>
    <t>Bill 3 (malith tex)</t>
  </si>
  <si>
    <t>Sugar</t>
  </si>
  <si>
    <t>recipe video (keels)</t>
  </si>
  <si>
    <t>Courior (From Uthpala)</t>
  </si>
  <si>
    <t>Sticker (ydf.com)</t>
  </si>
  <si>
    <t>food city</t>
  </si>
  <si>
    <t>cake janitha</t>
  </si>
  <si>
    <t>advance for meal</t>
  </si>
  <si>
    <t>cleaning for aunty</t>
  </si>
  <si>
    <t>Duhani (CF)</t>
  </si>
  <si>
    <t>balance of meal (1100 FROM UTHPALA)</t>
  </si>
  <si>
    <t>lantern bill food city</t>
  </si>
  <si>
    <t>Thilanka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</si>
</sst>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KR]\ #,##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/>
    <xf numFmtId="0" fontId="1" fillId="3" borderId="1" xfId="0" applyFont="1" applyFill="1" applyBorder="1" applyAlignment="1">
      <alignment horizontal="center" wrapText="1"/>
    </xf>
    <xf numFmtId="164" fontId="0" fillId="4" borderId="1" xfId="0" applyNumberFormat="1" applyFill="1" applyBorder="1"/>
    <xf numFmtId="16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4" borderId="1" xfId="0" applyFill="1" applyBorder="1"/>
    <xf numFmtId="14" fontId="0" fillId="4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63"/>
  <sheetViews>
    <sheetView tabSelected="1" topLeftCell="A145" workbookViewId="0">
      <selection activeCell="F159" sqref="F159"/>
    </sheetView>
  </sheetViews>
  <sheetFormatPr defaultRowHeight="14.5" x14ac:dyDescent="0.35"/>
  <cols>
    <col min="2" max="2" width="11.453125" customWidth="1"/>
    <col min="3" max="3" width="12.453125" style="14" customWidth="1"/>
    <col min="4" max="4" width="12.453125" customWidth="1"/>
    <col min="5" max="5" width="12.453125" style="14" customWidth="1"/>
    <col min="6" max="6" width="12.453125" customWidth="1"/>
    <col min="7" max="7" width="12.7265625" style="14" customWidth="1"/>
    <col min="8" max="8" width="16.26953125" customWidth="1"/>
    <col min="9" max="9" width="16.81640625" customWidth="1"/>
    <col min="12" max="12" width="11.1796875" bestFit="1" customWidth="1"/>
  </cols>
  <sheetData>
    <row r="2" spans="2:9" ht="28.5" customHeight="1" x14ac:dyDescent="0.35">
      <c r="B2" s="5" t="s">
        <v>0</v>
      </c>
      <c r="C2" s="12" t="s">
        <v>3</v>
      </c>
      <c r="D2" s="5" t="s">
        <v>0</v>
      </c>
      <c r="E2" s="13" t="s">
        <v>1</v>
      </c>
      <c r="F2" s="5" t="s">
        <v>2</v>
      </c>
      <c r="G2" s="13" t="s">
        <v>4</v>
      </c>
      <c r="H2" s="5" t="s">
        <v>7</v>
      </c>
      <c r="I2" s="5" t="s">
        <v>8</v>
      </c>
    </row>
    <row r="3" spans="2:9" x14ac:dyDescent="0.35">
      <c r="B3" s="1"/>
      <c r="C3" s="3"/>
      <c r="D3" s="1"/>
      <c r="E3" s="3"/>
      <c r="F3" s="1"/>
      <c r="G3" s="3"/>
      <c r="H3" s="1"/>
      <c r="I3" s="1"/>
    </row>
    <row r="4" spans="2:9" x14ac:dyDescent="0.35">
      <c r="B4" s="2">
        <v>45538</v>
      </c>
      <c r="C4" s="3">
        <v>9500</v>
      </c>
      <c r="D4" s="2">
        <v>45538</v>
      </c>
      <c r="E4" s="3">
        <v>280</v>
      </c>
      <c r="F4" s="4" t="s">
        <v>5</v>
      </c>
      <c r="G4" s="3">
        <f>(C4-E4)</f>
        <v>9220</v>
      </c>
      <c r="H4" s="2">
        <v>45535</v>
      </c>
      <c r="I4" s="1"/>
    </row>
    <row r="5" spans="2:9" x14ac:dyDescent="0.35">
      <c r="B5" s="1"/>
      <c r="C5" s="3"/>
      <c r="D5" s="1"/>
      <c r="E5" s="3">
        <v>290</v>
      </c>
      <c r="F5" s="4" t="s">
        <v>6</v>
      </c>
      <c r="G5" s="3">
        <f>(G4-E5)</f>
        <v>8930</v>
      </c>
      <c r="H5" s="2">
        <v>45536</v>
      </c>
      <c r="I5" s="1"/>
    </row>
    <row r="6" spans="2:9" x14ac:dyDescent="0.35">
      <c r="B6" s="1"/>
      <c r="C6" s="3"/>
      <c r="D6" s="1"/>
      <c r="E6" s="3">
        <v>800</v>
      </c>
      <c r="F6" s="4" t="s">
        <v>6</v>
      </c>
      <c r="G6" s="3">
        <f>(G5-E6)</f>
        <v>8130</v>
      </c>
      <c r="H6" s="2">
        <v>45536</v>
      </c>
      <c r="I6" s="1"/>
    </row>
    <row r="7" spans="2:9" x14ac:dyDescent="0.35">
      <c r="B7" s="1"/>
      <c r="C7" s="3"/>
      <c r="D7" s="2">
        <v>45539</v>
      </c>
      <c r="E7" s="3">
        <v>250</v>
      </c>
      <c r="F7" s="4" t="s">
        <v>5</v>
      </c>
      <c r="G7" s="3">
        <f t="shared" ref="G7:G21" si="0">(G6-E7)</f>
        <v>7880</v>
      </c>
      <c r="H7" s="2">
        <v>45542</v>
      </c>
      <c r="I7" s="1"/>
    </row>
    <row r="8" spans="2:9" x14ac:dyDescent="0.35">
      <c r="B8" s="1"/>
      <c r="C8" s="3"/>
      <c r="D8" s="1"/>
      <c r="E8" s="3">
        <v>700</v>
      </c>
      <c r="F8" s="4" t="s">
        <v>5</v>
      </c>
      <c r="G8" s="3">
        <f t="shared" si="0"/>
        <v>7180</v>
      </c>
      <c r="H8" s="2">
        <v>45543</v>
      </c>
      <c r="I8" s="1"/>
    </row>
    <row r="9" spans="2:9" x14ac:dyDescent="0.35">
      <c r="B9" s="6"/>
      <c r="C9" s="7"/>
      <c r="D9" s="6"/>
      <c r="E9" s="7">
        <v>500</v>
      </c>
      <c r="F9" s="8" t="s">
        <v>9</v>
      </c>
      <c r="G9" s="7">
        <f t="shared" si="0"/>
        <v>6680</v>
      </c>
      <c r="H9" s="6"/>
      <c r="I9" s="6" t="s">
        <v>10</v>
      </c>
    </row>
    <row r="10" spans="2:9" x14ac:dyDescent="0.35">
      <c r="B10" s="6"/>
      <c r="C10" s="7" t="s">
        <v>11</v>
      </c>
      <c r="D10" s="6"/>
      <c r="E10" s="7">
        <v>1520</v>
      </c>
      <c r="F10" s="8"/>
      <c r="G10" s="7">
        <f t="shared" si="0"/>
        <v>5160</v>
      </c>
      <c r="H10" s="6"/>
      <c r="I10" s="6" t="s">
        <v>12</v>
      </c>
    </row>
    <row r="11" spans="2:9" x14ac:dyDescent="0.35">
      <c r="B11" s="1"/>
      <c r="C11" s="3"/>
      <c r="D11" s="2">
        <v>45543</v>
      </c>
      <c r="E11" s="3">
        <v>360</v>
      </c>
      <c r="F11" s="4" t="s">
        <v>5</v>
      </c>
      <c r="G11" s="7">
        <f t="shared" si="0"/>
        <v>4800</v>
      </c>
      <c r="H11" s="1"/>
      <c r="I11" s="1"/>
    </row>
    <row r="12" spans="2:9" x14ac:dyDescent="0.35">
      <c r="B12" s="1"/>
      <c r="C12" s="3"/>
      <c r="D12" s="1"/>
      <c r="E12" s="3">
        <v>250</v>
      </c>
      <c r="F12" s="4" t="s">
        <v>5</v>
      </c>
      <c r="G12" s="7">
        <f t="shared" si="0"/>
        <v>4550</v>
      </c>
      <c r="H12" s="1"/>
      <c r="I12" s="1"/>
    </row>
    <row r="13" spans="2:9" x14ac:dyDescent="0.35">
      <c r="B13" s="6"/>
      <c r="C13" s="7"/>
      <c r="D13" s="9">
        <v>45546</v>
      </c>
      <c r="E13" s="7">
        <v>1500</v>
      </c>
      <c r="F13" s="8" t="s">
        <v>13</v>
      </c>
      <c r="G13" s="7">
        <f t="shared" si="0"/>
        <v>3050</v>
      </c>
      <c r="H13" s="6"/>
      <c r="I13" s="6"/>
    </row>
    <row r="14" spans="2:9" x14ac:dyDescent="0.35">
      <c r="B14" s="6"/>
      <c r="C14" s="7"/>
      <c r="D14" s="6"/>
      <c r="E14" s="7">
        <v>500</v>
      </c>
      <c r="F14" s="10" t="s">
        <v>14</v>
      </c>
      <c r="G14" s="7">
        <f t="shared" si="0"/>
        <v>2550</v>
      </c>
      <c r="H14" s="6"/>
      <c r="I14" s="6"/>
    </row>
    <row r="15" spans="2:9" x14ac:dyDescent="0.35">
      <c r="B15" s="1"/>
      <c r="C15" s="3"/>
      <c r="D15" s="2">
        <v>45547</v>
      </c>
      <c r="E15" s="3">
        <v>250</v>
      </c>
      <c r="F15" s="4" t="s">
        <v>5</v>
      </c>
      <c r="G15" s="7">
        <f t="shared" si="0"/>
        <v>2300</v>
      </c>
      <c r="H15" s="1"/>
      <c r="I15" s="1"/>
    </row>
    <row r="16" spans="2:9" x14ac:dyDescent="0.35">
      <c r="B16" s="1"/>
      <c r="C16" s="3"/>
      <c r="D16" s="1"/>
      <c r="E16" s="3">
        <v>700</v>
      </c>
      <c r="F16" s="4" t="s">
        <v>5</v>
      </c>
      <c r="G16" s="7">
        <f t="shared" si="0"/>
        <v>1600</v>
      </c>
      <c r="H16" s="1"/>
      <c r="I16" s="1"/>
    </row>
    <row r="17" spans="2:9" x14ac:dyDescent="0.35">
      <c r="B17" s="6"/>
      <c r="C17" s="7"/>
      <c r="D17" s="9">
        <v>45549</v>
      </c>
      <c r="E17" s="7">
        <v>500</v>
      </c>
      <c r="F17" s="8" t="s">
        <v>15</v>
      </c>
      <c r="G17" s="7">
        <f t="shared" si="0"/>
        <v>1100</v>
      </c>
      <c r="H17" s="6"/>
      <c r="I17" s="6"/>
    </row>
    <row r="18" spans="2:9" x14ac:dyDescent="0.35">
      <c r="B18" s="1"/>
      <c r="C18" s="3"/>
      <c r="D18" s="2">
        <v>45553</v>
      </c>
      <c r="E18" s="3">
        <v>236</v>
      </c>
      <c r="F18" s="4" t="s">
        <v>5</v>
      </c>
      <c r="G18" s="11">
        <f t="shared" si="0"/>
        <v>864</v>
      </c>
      <c r="H18" s="1"/>
      <c r="I18" s="1" t="s">
        <v>16</v>
      </c>
    </row>
    <row r="19" spans="2:9" x14ac:dyDescent="0.35">
      <c r="B19" s="1"/>
      <c r="C19" s="3"/>
      <c r="D19" s="1"/>
      <c r="E19" s="3">
        <v>239</v>
      </c>
      <c r="F19" s="4" t="s">
        <v>5</v>
      </c>
      <c r="G19" s="11">
        <f t="shared" si="0"/>
        <v>625</v>
      </c>
      <c r="H19" s="1"/>
      <c r="I19" s="1" t="s">
        <v>16</v>
      </c>
    </row>
    <row r="20" spans="2:9" x14ac:dyDescent="0.35">
      <c r="B20" s="1"/>
      <c r="C20" s="3"/>
      <c r="D20" s="1"/>
      <c r="E20" s="3">
        <v>217</v>
      </c>
      <c r="F20" s="4" t="s">
        <v>5</v>
      </c>
      <c r="G20" s="11">
        <f t="shared" si="0"/>
        <v>408</v>
      </c>
      <c r="H20" s="1"/>
      <c r="I20" s="1"/>
    </row>
    <row r="21" spans="2:9" x14ac:dyDescent="0.35">
      <c r="B21" s="1"/>
      <c r="C21" s="3"/>
      <c r="D21" s="1"/>
      <c r="E21" s="3">
        <v>500</v>
      </c>
      <c r="F21" s="4" t="s">
        <v>5</v>
      </c>
      <c r="G21" s="11">
        <f t="shared" si="0"/>
        <v>-92</v>
      </c>
      <c r="H21" s="1"/>
      <c r="I21" s="1"/>
    </row>
    <row r="22" spans="2:9" x14ac:dyDescent="0.35">
      <c r="B22" s="1"/>
      <c r="C22" s="3"/>
      <c r="D22" s="1"/>
      <c r="E22" s="3"/>
      <c r="F22" s="4"/>
      <c r="G22" s="11"/>
      <c r="H22" s="1"/>
      <c r="I22" s="1"/>
    </row>
    <row r="23" spans="2:9" x14ac:dyDescent="0.35">
      <c r="B23" s="2">
        <v>45554</v>
      </c>
      <c r="C23" s="3">
        <v>2000</v>
      </c>
      <c r="D23" s="2">
        <v>45554</v>
      </c>
      <c r="E23" s="3">
        <v>220</v>
      </c>
      <c r="F23" s="1" t="s">
        <v>17</v>
      </c>
      <c r="G23" s="11">
        <f>(C23-E23)</f>
        <v>1780</v>
      </c>
      <c r="H23" s="1"/>
      <c r="I23" s="1"/>
    </row>
    <row r="24" spans="2:9" x14ac:dyDescent="0.35">
      <c r="B24" s="1"/>
      <c r="C24" s="3"/>
      <c r="D24" s="1"/>
      <c r="E24" s="3">
        <v>550</v>
      </c>
      <c r="F24" s="1" t="s">
        <v>17</v>
      </c>
      <c r="G24" s="11">
        <f>(G23-E24)</f>
        <v>1230</v>
      </c>
      <c r="H24" s="1"/>
      <c r="I24" s="1"/>
    </row>
    <row r="25" spans="2:9" x14ac:dyDescent="0.35">
      <c r="B25" s="6"/>
      <c r="C25" s="7"/>
      <c r="D25" s="9">
        <v>45554</v>
      </c>
      <c r="E25" s="7">
        <v>50</v>
      </c>
      <c r="F25" s="6" t="s">
        <v>18</v>
      </c>
      <c r="G25" s="7">
        <f>(G24-E25)</f>
        <v>1180</v>
      </c>
      <c r="H25" s="6"/>
      <c r="I25" s="6"/>
    </row>
    <row r="26" spans="2:9" x14ac:dyDescent="0.35">
      <c r="B26" s="1"/>
      <c r="C26" s="3"/>
      <c r="D26" s="2">
        <v>45554</v>
      </c>
      <c r="E26" s="3">
        <v>240</v>
      </c>
      <c r="F26" s="1" t="s">
        <v>17</v>
      </c>
      <c r="G26" s="11">
        <f>(G25-E26)</f>
        <v>940</v>
      </c>
      <c r="H26" s="20" t="s">
        <v>19</v>
      </c>
      <c r="I26" s="21"/>
    </row>
    <row r="27" spans="2:9" x14ac:dyDescent="0.35">
      <c r="B27" s="1"/>
      <c r="C27" s="3"/>
      <c r="D27" s="1"/>
      <c r="E27" s="3">
        <v>270</v>
      </c>
      <c r="F27" s="1"/>
      <c r="G27" s="11">
        <f>(G26-E27)</f>
        <v>670</v>
      </c>
      <c r="H27" s="20" t="s">
        <v>19</v>
      </c>
      <c r="I27" s="21"/>
    </row>
    <row r="28" spans="2:9" x14ac:dyDescent="0.35">
      <c r="B28" s="2">
        <v>45558</v>
      </c>
      <c r="C28" s="3">
        <v>1265</v>
      </c>
      <c r="D28" s="1"/>
      <c r="E28" s="3"/>
      <c r="F28" s="1"/>
      <c r="G28" s="3">
        <f>(G27+C28)</f>
        <v>1935</v>
      </c>
      <c r="H28" s="1"/>
      <c r="I28" s="1"/>
    </row>
    <row r="29" spans="2:9" x14ac:dyDescent="0.35">
      <c r="B29" s="2">
        <v>45558</v>
      </c>
      <c r="C29" s="3">
        <v>500</v>
      </c>
      <c r="D29" s="1"/>
      <c r="E29" s="3"/>
      <c r="F29" s="1"/>
      <c r="G29" s="3">
        <f>(G28+C29)</f>
        <v>2435</v>
      </c>
      <c r="H29" s="1"/>
      <c r="I29" s="1"/>
    </row>
    <row r="30" spans="2:9" x14ac:dyDescent="0.35">
      <c r="B30" s="6"/>
      <c r="C30" s="7"/>
      <c r="D30" s="9">
        <v>45561</v>
      </c>
      <c r="E30" s="7">
        <v>300</v>
      </c>
      <c r="F30" s="6"/>
      <c r="G30" s="7">
        <f>(G29-E30)</f>
        <v>2135</v>
      </c>
      <c r="H30" s="6" t="s">
        <v>20</v>
      </c>
      <c r="I30" s="6"/>
    </row>
    <row r="31" spans="2:9" x14ac:dyDescent="0.35">
      <c r="B31" s="1"/>
      <c r="C31" s="3"/>
      <c r="D31" s="2">
        <v>45561</v>
      </c>
      <c r="E31" s="3">
        <v>240</v>
      </c>
      <c r="F31" s="1" t="s">
        <v>5</v>
      </c>
      <c r="G31" s="3">
        <f t="shared" ref="G31:G32" si="1">(G30-E31)</f>
        <v>1895</v>
      </c>
      <c r="H31" s="1"/>
      <c r="I31" s="1"/>
    </row>
    <row r="32" spans="2:9" x14ac:dyDescent="0.35">
      <c r="B32" s="1"/>
      <c r="C32" s="3"/>
      <c r="D32" s="1"/>
      <c r="E32" s="3">
        <v>500</v>
      </c>
      <c r="F32" s="1" t="s">
        <v>5</v>
      </c>
      <c r="G32" s="3">
        <f t="shared" si="1"/>
        <v>1395</v>
      </c>
      <c r="H32" s="1"/>
      <c r="I32" s="1"/>
    </row>
    <row r="33" spans="2:9" x14ac:dyDescent="0.35">
      <c r="B33" s="6"/>
      <c r="C33" s="7"/>
      <c r="D33" s="9">
        <v>45562</v>
      </c>
      <c r="E33" s="7">
        <v>765</v>
      </c>
      <c r="F33" s="6"/>
      <c r="G33" s="7">
        <f>(G32-E33)</f>
        <v>630</v>
      </c>
      <c r="H33" s="6" t="s">
        <v>21</v>
      </c>
      <c r="I33" s="6"/>
    </row>
    <row r="34" spans="2:9" x14ac:dyDescent="0.35">
      <c r="B34" s="6"/>
      <c r="C34" s="7"/>
      <c r="D34" s="9">
        <v>45563</v>
      </c>
      <c r="E34" s="7">
        <v>540</v>
      </c>
      <c r="F34" s="6"/>
      <c r="G34" s="7">
        <f>(G33-E34)</f>
        <v>90</v>
      </c>
      <c r="H34" s="6" t="s">
        <v>22</v>
      </c>
      <c r="I34" s="6"/>
    </row>
    <row r="35" spans="2:9" x14ac:dyDescent="0.35">
      <c r="B35" s="1"/>
      <c r="C35" s="3"/>
      <c r="D35" s="1"/>
      <c r="E35" s="3"/>
      <c r="F35" s="1"/>
      <c r="G35" s="3"/>
      <c r="H35" s="1"/>
      <c r="I35" s="1"/>
    </row>
    <row r="36" spans="2:9" x14ac:dyDescent="0.35">
      <c r="B36" s="2">
        <v>45567</v>
      </c>
      <c r="C36" s="3">
        <v>5000</v>
      </c>
      <c r="D36" s="2">
        <v>45567</v>
      </c>
      <c r="E36" s="3">
        <v>240</v>
      </c>
      <c r="F36" s="1"/>
      <c r="G36" s="3">
        <f>(C36-E36)+G34</f>
        <v>4850</v>
      </c>
      <c r="H36" s="1"/>
      <c r="I36" s="1"/>
    </row>
    <row r="37" spans="2:9" x14ac:dyDescent="0.35">
      <c r="B37" s="1"/>
      <c r="C37" s="3"/>
      <c r="D37" s="1"/>
      <c r="E37" s="3">
        <v>212</v>
      </c>
      <c r="F37" s="1"/>
      <c r="G37" s="3">
        <f>(G36-E37)</f>
        <v>4638</v>
      </c>
      <c r="H37" s="1"/>
      <c r="I37" s="1"/>
    </row>
    <row r="38" spans="2:9" x14ac:dyDescent="0.35">
      <c r="B38" s="6"/>
      <c r="C38" s="7"/>
      <c r="D38" s="6"/>
      <c r="E38" s="7">
        <v>3000</v>
      </c>
      <c r="F38" s="6"/>
      <c r="G38" s="7">
        <f>(G37-E38)</f>
        <v>1638</v>
      </c>
      <c r="H38" s="6" t="s">
        <v>23</v>
      </c>
      <c r="I38" s="6"/>
    </row>
    <row r="39" spans="2:9" x14ac:dyDescent="0.35">
      <c r="B39" s="2">
        <v>45570</v>
      </c>
      <c r="C39" s="3"/>
      <c r="D39" s="1"/>
      <c r="E39" s="3">
        <v>240</v>
      </c>
      <c r="F39" s="1"/>
      <c r="G39" s="11">
        <f t="shared" ref="G39:G44" si="2">(G38-E39)</f>
        <v>1398</v>
      </c>
      <c r="H39" s="1" t="s">
        <v>24</v>
      </c>
      <c r="I39" s="1"/>
    </row>
    <row r="40" spans="2:9" x14ac:dyDescent="0.35">
      <c r="B40" s="1"/>
      <c r="C40" s="3"/>
      <c r="D40" s="1"/>
      <c r="E40" s="3">
        <v>403</v>
      </c>
      <c r="F40" s="1"/>
      <c r="G40" s="11">
        <f t="shared" si="2"/>
        <v>995</v>
      </c>
      <c r="H40" s="1"/>
      <c r="I40" s="1"/>
    </row>
    <row r="41" spans="2:9" x14ac:dyDescent="0.35">
      <c r="B41" s="1"/>
      <c r="C41" s="3"/>
      <c r="D41" s="1"/>
      <c r="E41" s="3">
        <v>233</v>
      </c>
      <c r="F41" s="1"/>
      <c r="G41" s="11">
        <f t="shared" si="2"/>
        <v>762</v>
      </c>
      <c r="H41" s="1"/>
      <c r="I41" s="1"/>
    </row>
    <row r="42" spans="2:9" x14ac:dyDescent="0.35">
      <c r="B42" s="1"/>
      <c r="C42" s="3"/>
      <c r="D42" s="1"/>
      <c r="E42" s="3">
        <v>243</v>
      </c>
      <c r="F42" s="1"/>
      <c r="G42" s="11">
        <f t="shared" si="2"/>
        <v>519</v>
      </c>
      <c r="H42" s="1"/>
      <c r="I42" s="1"/>
    </row>
    <row r="43" spans="2:9" x14ac:dyDescent="0.35">
      <c r="B43" s="2">
        <v>45574</v>
      </c>
      <c r="C43" s="3"/>
      <c r="D43" s="1"/>
      <c r="E43" s="3">
        <v>243</v>
      </c>
      <c r="F43" s="1"/>
      <c r="G43" s="11">
        <f t="shared" si="2"/>
        <v>276</v>
      </c>
      <c r="H43" s="1"/>
      <c r="I43" s="1"/>
    </row>
    <row r="44" spans="2:9" x14ac:dyDescent="0.35">
      <c r="B44" s="1"/>
      <c r="C44" s="3"/>
      <c r="D44" s="1"/>
      <c r="E44" s="3">
        <v>600</v>
      </c>
      <c r="F44" s="1"/>
      <c r="G44" s="11">
        <f t="shared" si="2"/>
        <v>-324</v>
      </c>
      <c r="H44" s="1" t="s">
        <v>25</v>
      </c>
      <c r="I44" s="1"/>
    </row>
    <row r="45" spans="2:9" x14ac:dyDescent="0.35">
      <c r="B45" s="1"/>
      <c r="C45" s="3"/>
      <c r="D45" s="1"/>
      <c r="E45" s="3"/>
      <c r="F45" s="1"/>
      <c r="G45" s="3"/>
      <c r="H45" s="1"/>
      <c r="I45" s="1"/>
    </row>
    <row r="46" spans="2:9" x14ac:dyDescent="0.35">
      <c r="B46" s="9">
        <v>45574</v>
      </c>
      <c r="C46" s="7">
        <v>20000</v>
      </c>
      <c r="D46" s="6"/>
      <c r="E46" s="7">
        <v>11605</v>
      </c>
      <c r="F46" s="6"/>
      <c r="G46" s="7">
        <f>(C46-E46)</f>
        <v>8395</v>
      </c>
      <c r="H46" s="6" t="s">
        <v>26</v>
      </c>
      <c r="I46" s="6"/>
    </row>
    <row r="47" spans="2:9" x14ac:dyDescent="0.35">
      <c r="B47" s="6"/>
      <c r="C47" s="7"/>
      <c r="D47" s="6"/>
      <c r="E47" s="7">
        <v>324</v>
      </c>
      <c r="F47" s="6"/>
      <c r="G47" s="7">
        <f>(G46-E47)</f>
        <v>8071</v>
      </c>
      <c r="H47" s="6" t="s">
        <v>27</v>
      </c>
      <c r="I47" s="6"/>
    </row>
    <row r="48" spans="2:9" x14ac:dyDescent="0.35">
      <c r="B48" s="9">
        <v>45575</v>
      </c>
      <c r="C48" s="7"/>
      <c r="D48" s="6"/>
      <c r="E48" s="7">
        <v>555</v>
      </c>
      <c r="F48" s="7"/>
      <c r="G48" s="7">
        <f t="shared" ref="G48:G56" si="3">(G47-E48)</f>
        <v>7516</v>
      </c>
      <c r="H48" s="6" t="s">
        <v>28</v>
      </c>
      <c r="I48" s="6"/>
    </row>
    <row r="49" spans="2:9" x14ac:dyDescent="0.35">
      <c r="B49" s="6"/>
      <c r="C49" s="7"/>
      <c r="D49" s="6"/>
      <c r="E49" s="7">
        <v>500</v>
      </c>
      <c r="F49" s="7"/>
      <c r="G49" s="7">
        <f t="shared" si="3"/>
        <v>7016</v>
      </c>
      <c r="H49" s="6" t="s">
        <v>29</v>
      </c>
      <c r="I49" s="6"/>
    </row>
    <row r="50" spans="2:9" x14ac:dyDescent="0.35">
      <c r="B50" s="1"/>
      <c r="C50" s="3"/>
      <c r="D50" s="1"/>
      <c r="E50" s="3">
        <v>560</v>
      </c>
      <c r="F50" s="3"/>
      <c r="G50" s="11">
        <f t="shared" si="3"/>
        <v>6456</v>
      </c>
      <c r="H50" s="1" t="s">
        <v>17</v>
      </c>
      <c r="I50" s="1"/>
    </row>
    <row r="51" spans="2:9" x14ac:dyDescent="0.35">
      <c r="B51" s="9">
        <v>45576</v>
      </c>
      <c r="C51" s="7"/>
      <c r="D51" s="6"/>
      <c r="E51" s="7">
        <v>3000</v>
      </c>
      <c r="F51" s="7"/>
      <c r="G51" s="7">
        <f t="shared" si="3"/>
        <v>3456</v>
      </c>
      <c r="H51" s="6" t="s">
        <v>30</v>
      </c>
      <c r="I51" s="6"/>
    </row>
    <row r="52" spans="2:9" x14ac:dyDescent="0.35">
      <c r="B52" s="9">
        <v>45580</v>
      </c>
      <c r="C52" s="7"/>
      <c r="D52" s="6"/>
      <c r="E52" s="7">
        <v>1050</v>
      </c>
      <c r="F52" s="7"/>
      <c r="G52" s="7">
        <f t="shared" si="3"/>
        <v>2406</v>
      </c>
      <c r="H52" s="6" t="s">
        <v>22</v>
      </c>
      <c r="I52" s="6"/>
    </row>
    <row r="53" spans="2:9" x14ac:dyDescent="0.35">
      <c r="B53" s="1"/>
      <c r="C53" s="3"/>
      <c r="D53" s="1"/>
      <c r="E53" s="3">
        <v>600</v>
      </c>
      <c r="F53" s="3"/>
      <c r="G53" s="11">
        <f t="shared" si="3"/>
        <v>1806</v>
      </c>
      <c r="H53" s="1" t="s">
        <v>17</v>
      </c>
      <c r="I53" s="1"/>
    </row>
    <row r="54" spans="2:9" x14ac:dyDescent="0.35">
      <c r="B54" s="1"/>
      <c r="C54" s="3"/>
      <c r="D54" s="1"/>
      <c r="E54" s="3">
        <v>260</v>
      </c>
      <c r="F54" s="1"/>
      <c r="G54" s="11">
        <f t="shared" si="3"/>
        <v>1546</v>
      </c>
      <c r="H54" s="1" t="s">
        <v>5</v>
      </c>
      <c r="I54" s="1"/>
    </row>
    <row r="55" spans="2:9" x14ac:dyDescent="0.35">
      <c r="B55" s="1"/>
      <c r="C55" s="3"/>
      <c r="D55" s="1"/>
      <c r="E55" s="3">
        <v>570</v>
      </c>
      <c r="F55" s="1"/>
      <c r="G55" s="11">
        <f t="shared" si="3"/>
        <v>976</v>
      </c>
      <c r="H55" s="1" t="s">
        <v>31</v>
      </c>
      <c r="I55" s="1"/>
    </row>
    <row r="56" spans="2:9" x14ac:dyDescent="0.35">
      <c r="B56" s="6"/>
      <c r="C56" s="7"/>
      <c r="D56" s="6"/>
      <c r="E56" s="7">
        <v>200</v>
      </c>
      <c r="F56" s="6"/>
      <c r="G56" s="7">
        <f t="shared" si="3"/>
        <v>776</v>
      </c>
      <c r="H56" s="6" t="s">
        <v>33</v>
      </c>
      <c r="I56" s="6"/>
    </row>
    <row r="57" spans="2:9" x14ac:dyDescent="0.35">
      <c r="B57" s="2">
        <v>45586</v>
      </c>
      <c r="C57" s="3">
        <v>2970</v>
      </c>
      <c r="D57" s="1" t="s">
        <v>32</v>
      </c>
      <c r="E57" s="3"/>
      <c r="F57" s="1"/>
      <c r="G57" s="3">
        <f>(G56+C57)</f>
        <v>3746</v>
      </c>
      <c r="H57" s="1"/>
      <c r="I57" s="1"/>
    </row>
    <row r="58" spans="2:9" x14ac:dyDescent="0.35">
      <c r="B58" s="2">
        <v>45586</v>
      </c>
      <c r="C58" s="3"/>
      <c r="D58" s="1"/>
      <c r="E58" s="3">
        <v>1100</v>
      </c>
      <c r="F58" s="1" t="s">
        <v>17</v>
      </c>
      <c r="G58" s="3">
        <f>(G57-E58)</f>
        <v>2646</v>
      </c>
      <c r="H58" s="1"/>
      <c r="I58" s="1"/>
    </row>
    <row r="59" spans="2:9" x14ac:dyDescent="0.35">
      <c r="B59" s="2">
        <v>45586</v>
      </c>
      <c r="C59" s="3"/>
      <c r="D59" s="1"/>
      <c r="E59" s="3">
        <v>674</v>
      </c>
      <c r="F59" s="1" t="s">
        <v>5</v>
      </c>
      <c r="G59" s="3">
        <f>(G58-E59)</f>
        <v>1972</v>
      </c>
      <c r="H59" s="1"/>
      <c r="I59" s="1"/>
    </row>
    <row r="60" spans="2:9" x14ac:dyDescent="0.35">
      <c r="B60" s="2">
        <v>45586</v>
      </c>
      <c r="C60" s="3"/>
      <c r="D60" s="1"/>
      <c r="E60" s="3">
        <v>277</v>
      </c>
      <c r="F60" s="1" t="s">
        <v>34</v>
      </c>
      <c r="G60" s="3">
        <f>(G59-E60)</f>
        <v>1695</v>
      </c>
      <c r="H60" s="1"/>
      <c r="I60" s="1"/>
    </row>
    <row r="61" spans="2:9" x14ac:dyDescent="0.35">
      <c r="B61" s="2">
        <v>45586</v>
      </c>
      <c r="C61" s="3"/>
      <c r="D61" s="1"/>
      <c r="E61" s="3">
        <v>440</v>
      </c>
      <c r="F61" s="1" t="s">
        <v>35</v>
      </c>
      <c r="G61" s="3">
        <f>(G60-E61)</f>
        <v>1255</v>
      </c>
      <c r="H61" s="1"/>
      <c r="I61" s="1"/>
    </row>
    <row r="62" spans="2:9" x14ac:dyDescent="0.35">
      <c r="B62" s="9">
        <v>45586</v>
      </c>
      <c r="C62" s="7"/>
      <c r="D62" s="6"/>
      <c r="E62" s="7">
        <v>950</v>
      </c>
      <c r="F62" s="6"/>
      <c r="G62" s="7">
        <f t="shared" ref="G62:G63" si="4">(G61-E62)</f>
        <v>305</v>
      </c>
      <c r="H62" s="6" t="s">
        <v>22</v>
      </c>
      <c r="I62" s="6"/>
    </row>
    <row r="63" spans="2:9" x14ac:dyDescent="0.35">
      <c r="B63" s="2">
        <v>45586</v>
      </c>
      <c r="C63" s="3"/>
      <c r="D63" s="1"/>
      <c r="E63" s="3">
        <v>250</v>
      </c>
      <c r="F63" s="1" t="s">
        <v>27</v>
      </c>
      <c r="G63" s="3">
        <f t="shared" si="4"/>
        <v>55</v>
      </c>
      <c r="H63" s="1"/>
      <c r="I63" s="1"/>
    </row>
    <row r="64" spans="2:9" x14ac:dyDescent="0.35">
      <c r="B64" s="2">
        <v>45589</v>
      </c>
      <c r="C64" s="3">
        <v>34000</v>
      </c>
      <c r="D64" s="1"/>
      <c r="E64" s="3"/>
      <c r="F64" s="1"/>
      <c r="G64" s="3">
        <f>(G63+C64)</f>
        <v>34055</v>
      </c>
      <c r="H64" s="1"/>
      <c r="I64" s="1"/>
    </row>
    <row r="65" spans="2:9" x14ac:dyDescent="0.35">
      <c r="B65" s="6"/>
      <c r="C65" s="7"/>
      <c r="D65" s="6"/>
      <c r="E65" s="7">
        <v>32750</v>
      </c>
      <c r="F65" s="6"/>
      <c r="G65" s="7">
        <f>(G64-E65)</f>
        <v>1305</v>
      </c>
      <c r="H65" s="6" t="s">
        <v>29</v>
      </c>
      <c r="I65" s="6"/>
    </row>
    <row r="66" spans="2:9" x14ac:dyDescent="0.35">
      <c r="B66" s="6"/>
      <c r="C66" s="7"/>
      <c r="D66" s="6"/>
      <c r="E66" s="7">
        <v>1085</v>
      </c>
      <c r="F66" s="6"/>
      <c r="G66" s="7">
        <f>(G65-E66)</f>
        <v>220</v>
      </c>
      <c r="H66" s="6" t="s">
        <v>36</v>
      </c>
      <c r="I66" s="6"/>
    </row>
    <row r="67" spans="2:9" x14ac:dyDescent="0.35">
      <c r="B67" s="2">
        <v>45594</v>
      </c>
      <c r="C67" s="3">
        <v>2000</v>
      </c>
      <c r="D67" s="1"/>
      <c r="E67" s="3"/>
      <c r="F67" s="1"/>
      <c r="G67" s="3">
        <f>(G66+C67)</f>
        <v>2220</v>
      </c>
      <c r="H67" s="1"/>
      <c r="I67" s="1"/>
    </row>
    <row r="68" spans="2:9" x14ac:dyDescent="0.35">
      <c r="B68" s="2">
        <v>45594</v>
      </c>
      <c r="C68" s="3"/>
      <c r="D68" s="1"/>
      <c r="E68" s="3">
        <v>1410</v>
      </c>
      <c r="F68" s="1"/>
      <c r="G68" s="3">
        <f>(G67-E68)</f>
        <v>810</v>
      </c>
      <c r="H68" s="1" t="s">
        <v>5</v>
      </c>
      <c r="I68" s="1"/>
    </row>
    <row r="69" spans="2:9" x14ac:dyDescent="0.35">
      <c r="B69" s="1"/>
      <c r="C69" s="3"/>
      <c r="D69" s="1"/>
      <c r="E69" s="3">
        <v>275</v>
      </c>
      <c r="F69" s="1"/>
      <c r="G69" s="3">
        <f t="shared" ref="G69:G71" si="5">(G68-E69)</f>
        <v>535</v>
      </c>
      <c r="H69" s="1" t="s">
        <v>35</v>
      </c>
      <c r="I69" s="1"/>
    </row>
    <row r="70" spans="2:9" x14ac:dyDescent="0.35">
      <c r="B70" s="1"/>
      <c r="C70" s="3"/>
      <c r="D70" s="1"/>
      <c r="E70" s="3">
        <v>260</v>
      </c>
      <c r="F70" s="1"/>
      <c r="G70" s="3">
        <f t="shared" si="5"/>
        <v>275</v>
      </c>
      <c r="H70" s="1" t="s">
        <v>17</v>
      </c>
      <c r="I70" s="1"/>
    </row>
    <row r="71" spans="2:9" x14ac:dyDescent="0.35">
      <c r="B71" s="1"/>
      <c r="C71" s="3"/>
      <c r="D71" s="1"/>
      <c r="E71" s="3">
        <v>270</v>
      </c>
      <c r="F71" s="1"/>
      <c r="G71" s="3">
        <f t="shared" si="5"/>
        <v>5</v>
      </c>
      <c r="H71" s="1" t="s">
        <v>27</v>
      </c>
      <c r="I71" s="1"/>
    </row>
    <row r="72" spans="2:9" x14ac:dyDescent="0.35">
      <c r="B72" s="1"/>
      <c r="C72" s="3"/>
      <c r="D72" s="1"/>
      <c r="E72" s="3"/>
      <c r="F72" s="1"/>
      <c r="G72" s="3"/>
      <c r="H72" s="1"/>
      <c r="I72" s="1"/>
    </row>
    <row r="73" spans="2:9" x14ac:dyDescent="0.35">
      <c r="B73" s="2">
        <v>45602</v>
      </c>
      <c r="C73" s="3">
        <v>10000</v>
      </c>
      <c r="D73" s="1"/>
      <c r="E73" s="3">
        <v>290</v>
      </c>
      <c r="F73" s="1"/>
      <c r="G73" s="3">
        <f>(C73-E73)</f>
        <v>9710</v>
      </c>
      <c r="H73" s="1" t="s">
        <v>17</v>
      </c>
      <c r="I73" s="1" t="s">
        <v>37</v>
      </c>
    </row>
    <row r="74" spans="2:9" x14ac:dyDescent="0.35">
      <c r="B74" s="1"/>
      <c r="C74" s="3"/>
      <c r="D74" s="1"/>
      <c r="E74" s="3">
        <v>270</v>
      </c>
      <c r="F74" s="1"/>
      <c r="G74" s="3">
        <f>(G73-E74)</f>
        <v>9440</v>
      </c>
      <c r="H74" s="1" t="s">
        <v>17</v>
      </c>
      <c r="I74" s="2">
        <v>45600</v>
      </c>
    </row>
    <row r="75" spans="2:9" x14ac:dyDescent="0.35">
      <c r="B75" s="1"/>
      <c r="C75" s="3"/>
      <c r="D75" s="1"/>
      <c r="E75" s="3">
        <v>170</v>
      </c>
      <c r="F75" s="1"/>
      <c r="G75" s="3">
        <f>(G74-E75)</f>
        <v>9270</v>
      </c>
      <c r="H75" s="1" t="s">
        <v>17</v>
      </c>
      <c r="I75" s="2">
        <v>45600</v>
      </c>
    </row>
    <row r="76" spans="2:9" x14ac:dyDescent="0.35">
      <c r="B76" s="1"/>
      <c r="C76" s="3"/>
      <c r="D76" s="1"/>
      <c r="E76" s="3">
        <v>220</v>
      </c>
      <c r="F76" s="1"/>
      <c r="G76" s="3">
        <f>(G75-E76)</f>
        <v>9050</v>
      </c>
      <c r="H76" s="1" t="s">
        <v>38</v>
      </c>
      <c r="I76" s="2">
        <v>45599</v>
      </c>
    </row>
    <row r="77" spans="2:9" x14ac:dyDescent="0.35">
      <c r="B77" s="1"/>
      <c r="C77" s="3"/>
      <c r="D77" s="1"/>
      <c r="E77" s="3">
        <v>550</v>
      </c>
      <c r="F77" s="1"/>
      <c r="G77" s="3">
        <f t="shared" ref="G77:G98" si="6">(G76-E77)</f>
        <v>8500</v>
      </c>
      <c r="H77" s="1" t="s">
        <v>5</v>
      </c>
      <c r="I77" s="2">
        <v>45599</v>
      </c>
    </row>
    <row r="78" spans="2:9" x14ac:dyDescent="0.35">
      <c r="B78" s="1"/>
      <c r="C78" s="3"/>
      <c r="D78" s="1"/>
      <c r="E78" s="3">
        <v>250</v>
      </c>
      <c r="F78" s="1"/>
      <c r="G78" s="3">
        <f t="shared" si="6"/>
        <v>8250</v>
      </c>
      <c r="H78" s="1" t="s">
        <v>5</v>
      </c>
      <c r="I78" s="2">
        <v>45599</v>
      </c>
    </row>
    <row r="79" spans="2:9" x14ac:dyDescent="0.35">
      <c r="B79" s="1"/>
      <c r="C79" s="3"/>
      <c r="D79" s="1"/>
      <c r="E79" s="3">
        <v>200</v>
      </c>
      <c r="F79" s="1"/>
      <c r="G79" s="3">
        <f t="shared" si="6"/>
        <v>8050</v>
      </c>
      <c r="H79" s="1" t="s">
        <v>5</v>
      </c>
      <c r="I79" s="2">
        <v>45598</v>
      </c>
    </row>
    <row r="80" spans="2:9" x14ac:dyDescent="0.35">
      <c r="B80" s="1"/>
      <c r="C80" s="3"/>
      <c r="D80" s="1"/>
      <c r="E80" s="3">
        <v>250</v>
      </c>
      <c r="F80" s="1"/>
      <c r="G80" s="3">
        <f t="shared" si="6"/>
        <v>7800</v>
      </c>
      <c r="H80" s="1" t="s">
        <v>5</v>
      </c>
      <c r="I80" s="2">
        <v>45600</v>
      </c>
    </row>
    <row r="81" spans="2:13" x14ac:dyDescent="0.35">
      <c r="B81" s="1"/>
      <c r="C81" s="3"/>
      <c r="D81" s="1"/>
      <c r="E81" s="3">
        <v>220</v>
      </c>
      <c r="F81" s="1"/>
      <c r="G81" s="3">
        <f t="shared" si="6"/>
        <v>7580</v>
      </c>
      <c r="H81" s="1" t="s">
        <v>5</v>
      </c>
      <c r="I81" s="2">
        <v>45595</v>
      </c>
    </row>
    <row r="82" spans="2:13" x14ac:dyDescent="0.35">
      <c r="B82" s="1"/>
      <c r="C82" s="3"/>
      <c r="D82" s="1"/>
      <c r="E82" s="3">
        <v>600</v>
      </c>
      <c r="F82" s="1"/>
      <c r="G82" s="3">
        <f t="shared" si="6"/>
        <v>6980</v>
      </c>
      <c r="H82" s="1" t="s">
        <v>5</v>
      </c>
      <c r="I82" s="2">
        <v>45595</v>
      </c>
    </row>
    <row r="83" spans="2:13" x14ac:dyDescent="0.35">
      <c r="B83" s="1"/>
      <c r="C83" s="3"/>
      <c r="D83" s="1"/>
      <c r="E83" s="3">
        <v>250</v>
      </c>
      <c r="F83" s="1"/>
      <c r="G83" s="3">
        <f t="shared" si="6"/>
        <v>6730</v>
      </c>
      <c r="H83" s="1" t="s">
        <v>5</v>
      </c>
      <c r="I83" s="2">
        <v>45596</v>
      </c>
      <c r="J83" t="s">
        <v>41</v>
      </c>
    </row>
    <row r="84" spans="2:13" x14ac:dyDescent="0.35">
      <c r="B84" s="1"/>
      <c r="C84" s="3"/>
      <c r="D84" s="1"/>
      <c r="E84" s="3">
        <v>220</v>
      </c>
      <c r="F84" s="1"/>
      <c r="G84" s="3">
        <f t="shared" si="6"/>
        <v>6510</v>
      </c>
      <c r="H84" s="1" t="s">
        <v>5</v>
      </c>
      <c r="I84" s="2">
        <v>45596</v>
      </c>
    </row>
    <row r="85" spans="2:13" x14ac:dyDescent="0.35">
      <c r="B85" s="1"/>
      <c r="C85" s="3"/>
      <c r="D85" s="1"/>
      <c r="E85" s="3">
        <v>750</v>
      </c>
      <c r="F85" s="1"/>
      <c r="G85" s="3">
        <f t="shared" si="6"/>
        <v>5760</v>
      </c>
      <c r="H85" s="1" t="s">
        <v>27</v>
      </c>
      <c r="I85" s="1" t="s">
        <v>42</v>
      </c>
    </row>
    <row r="86" spans="2:13" x14ac:dyDescent="0.35">
      <c r="B86" s="1"/>
      <c r="C86" s="3"/>
      <c r="D86" s="1"/>
      <c r="E86" s="3">
        <v>400</v>
      </c>
      <c r="F86" s="1"/>
      <c r="G86" s="3">
        <f t="shared" si="6"/>
        <v>5360</v>
      </c>
      <c r="H86" s="1" t="s">
        <v>5</v>
      </c>
      <c r="I86" s="2">
        <v>45602</v>
      </c>
    </row>
    <row r="87" spans="2:13" x14ac:dyDescent="0.35">
      <c r="B87" s="1"/>
      <c r="C87" s="3"/>
      <c r="D87" s="1"/>
      <c r="E87" s="3">
        <v>210</v>
      </c>
      <c r="F87" s="1"/>
      <c r="G87" s="3">
        <f t="shared" si="6"/>
        <v>5150</v>
      </c>
      <c r="H87" s="1" t="s">
        <v>17</v>
      </c>
      <c r="I87" s="2">
        <v>45602</v>
      </c>
    </row>
    <row r="88" spans="2:13" x14ac:dyDescent="0.35">
      <c r="B88" s="6"/>
      <c r="C88" s="7"/>
      <c r="D88" s="6"/>
      <c r="E88" s="7">
        <v>400</v>
      </c>
      <c r="F88" s="6"/>
      <c r="G88" s="7">
        <f t="shared" si="6"/>
        <v>4750</v>
      </c>
      <c r="H88" s="6" t="s">
        <v>27</v>
      </c>
      <c r="I88" s="6" t="s">
        <v>44</v>
      </c>
    </row>
    <row r="89" spans="2:13" x14ac:dyDescent="0.35">
      <c r="B89" s="1"/>
      <c r="C89" s="3"/>
      <c r="D89" s="1"/>
      <c r="E89" s="3">
        <v>1000</v>
      </c>
      <c r="F89" s="1"/>
      <c r="G89" s="3">
        <f t="shared" si="6"/>
        <v>3750</v>
      </c>
      <c r="H89" s="1" t="s">
        <v>5</v>
      </c>
      <c r="I89" s="2">
        <v>41953</v>
      </c>
      <c r="J89" t="s">
        <v>45</v>
      </c>
    </row>
    <row r="90" spans="2:13" x14ac:dyDescent="0.35">
      <c r="B90" s="1"/>
      <c r="C90" s="3"/>
      <c r="D90" s="1"/>
      <c r="E90" s="3">
        <v>220</v>
      </c>
      <c r="F90" s="1"/>
      <c r="G90" s="3">
        <f t="shared" si="6"/>
        <v>3530</v>
      </c>
      <c r="H90" s="1" t="s">
        <v>35</v>
      </c>
      <c r="I90" s="1"/>
    </row>
    <row r="91" spans="2:13" x14ac:dyDescent="0.35">
      <c r="B91" s="1"/>
      <c r="C91" s="3"/>
      <c r="D91" s="1"/>
      <c r="E91" s="3">
        <v>210</v>
      </c>
      <c r="F91" s="1"/>
      <c r="G91" s="3">
        <f t="shared" si="6"/>
        <v>3320</v>
      </c>
      <c r="H91" s="1" t="s">
        <v>38</v>
      </c>
      <c r="I91" s="1"/>
    </row>
    <row r="92" spans="2:13" x14ac:dyDescent="0.35">
      <c r="B92" s="6"/>
      <c r="C92" s="7"/>
      <c r="D92" s="6"/>
      <c r="E92" s="7">
        <v>985</v>
      </c>
      <c r="F92" s="6"/>
      <c r="G92" s="7">
        <f t="shared" si="6"/>
        <v>2335</v>
      </c>
      <c r="H92" s="6" t="s">
        <v>27</v>
      </c>
      <c r="I92" s="6" t="s">
        <v>61</v>
      </c>
    </row>
    <row r="93" spans="2:13" x14ac:dyDescent="0.35">
      <c r="B93" s="2">
        <v>45614</v>
      </c>
      <c r="C93" s="3"/>
      <c r="D93" s="1"/>
      <c r="E93" s="3">
        <v>280</v>
      </c>
      <c r="F93" s="1"/>
      <c r="G93" s="11">
        <f t="shared" si="6"/>
        <v>2055</v>
      </c>
      <c r="H93" s="1" t="s">
        <v>17</v>
      </c>
      <c r="I93" s="2">
        <v>45613</v>
      </c>
    </row>
    <row r="94" spans="2:13" x14ac:dyDescent="0.35">
      <c r="B94" s="1"/>
      <c r="C94" s="3"/>
      <c r="D94" s="1"/>
      <c r="E94" s="3">
        <v>500</v>
      </c>
      <c r="F94" s="1"/>
      <c r="G94" s="11">
        <f t="shared" si="6"/>
        <v>1555</v>
      </c>
      <c r="H94" s="1" t="s">
        <v>17</v>
      </c>
      <c r="I94" s="1"/>
    </row>
    <row r="95" spans="2:13" x14ac:dyDescent="0.35">
      <c r="B95" s="9">
        <v>45615</v>
      </c>
      <c r="C95" s="7"/>
      <c r="D95" s="6"/>
      <c r="E95" s="7">
        <v>120</v>
      </c>
      <c r="F95" s="6"/>
      <c r="G95" s="7">
        <f t="shared" si="6"/>
        <v>1435</v>
      </c>
      <c r="H95" s="6" t="s">
        <v>27</v>
      </c>
      <c r="I95" s="9">
        <v>45615</v>
      </c>
      <c r="J95" t="s">
        <v>62</v>
      </c>
      <c r="M95">
        <f>(1075-625)</f>
        <v>450</v>
      </c>
    </row>
    <row r="96" spans="2:13" x14ac:dyDescent="0.35">
      <c r="B96" s="6"/>
      <c r="C96" s="7"/>
      <c r="D96" s="6"/>
      <c r="E96" s="7">
        <v>280</v>
      </c>
      <c r="F96" s="6"/>
      <c r="G96" s="7">
        <f t="shared" si="6"/>
        <v>1155</v>
      </c>
      <c r="H96" s="6"/>
      <c r="I96" s="6"/>
    </row>
    <row r="97" spans="2:9" x14ac:dyDescent="0.35">
      <c r="B97" s="6"/>
      <c r="C97" s="7"/>
      <c r="D97" s="6"/>
      <c r="E97" s="7">
        <v>280</v>
      </c>
      <c r="F97" s="6"/>
      <c r="G97" s="7">
        <f t="shared" si="6"/>
        <v>875</v>
      </c>
      <c r="H97" s="6"/>
      <c r="I97" s="6"/>
    </row>
    <row r="98" spans="2:9" x14ac:dyDescent="0.35">
      <c r="B98" s="6"/>
      <c r="C98" s="7"/>
      <c r="D98" s="6"/>
      <c r="E98" s="7">
        <v>1500</v>
      </c>
      <c r="F98" s="6"/>
      <c r="G98" s="7">
        <f t="shared" si="6"/>
        <v>-625</v>
      </c>
      <c r="H98" s="6"/>
      <c r="I98" s="6"/>
    </row>
    <row r="99" spans="2:9" x14ac:dyDescent="0.35">
      <c r="B99" s="19">
        <v>45617</v>
      </c>
      <c r="C99" s="11">
        <v>8000</v>
      </c>
      <c r="D99" s="18"/>
      <c r="E99" s="11"/>
      <c r="F99" s="18"/>
      <c r="G99" s="11"/>
      <c r="H99" s="18"/>
      <c r="I99" s="18"/>
    </row>
    <row r="100" spans="2:9" x14ac:dyDescent="0.35">
      <c r="B100" s="2">
        <v>45618</v>
      </c>
      <c r="C100" s="3"/>
      <c r="D100" s="1"/>
      <c r="E100" s="3">
        <v>210</v>
      </c>
      <c r="F100" s="1"/>
      <c r="G100" s="3">
        <f>(C99-E100)</f>
        <v>7790</v>
      </c>
      <c r="H100" s="1" t="s">
        <v>35</v>
      </c>
      <c r="I100" s="2">
        <v>45616</v>
      </c>
    </row>
    <row r="101" spans="2:9" x14ac:dyDescent="0.35">
      <c r="B101" s="1"/>
      <c r="C101" s="3"/>
      <c r="D101" s="1"/>
      <c r="E101" s="3">
        <v>220</v>
      </c>
      <c r="F101" s="1"/>
      <c r="G101" s="3">
        <f t="shared" ref="G101:G110" si="7">(G100-E101)</f>
        <v>7570</v>
      </c>
      <c r="H101" s="1"/>
      <c r="I101" s="1"/>
    </row>
    <row r="102" spans="2:9" x14ac:dyDescent="0.35">
      <c r="B102" s="6"/>
      <c r="C102" s="7"/>
      <c r="D102" s="6"/>
      <c r="E102" s="7">
        <v>625</v>
      </c>
      <c r="F102" s="6"/>
      <c r="G102" s="7">
        <f t="shared" si="7"/>
        <v>6945</v>
      </c>
      <c r="H102" s="6" t="s">
        <v>27</v>
      </c>
      <c r="I102" s="6"/>
    </row>
    <row r="103" spans="2:9" x14ac:dyDescent="0.35">
      <c r="B103" s="2">
        <v>45621</v>
      </c>
      <c r="C103" s="3"/>
      <c r="D103" s="1"/>
      <c r="E103" s="3">
        <v>250</v>
      </c>
      <c r="F103" s="1"/>
      <c r="G103" s="11">
        <f t="shared" si="7"/>
        <v>6695</v>
      </c>
      <c r="H103" s="1" t="s">
        <v>63</v>
      </c>
      <c r="I103" s="1"/>
    </row>
    <row r="104" spans="2:9" x14ac:dyDescent="0.35">
      <c r="B104" s="2">
        <v>45619</v>
      </c>
      <c r="C104" s="3"/>
      <c r="D104" s="1"/>
      <c r="E104" s="3">
        <v>1580</v>
      </c>
      <c r="F104" s="1"/>
      <c r="G104" s="11">
        <f t="shared" si="7"/>
        <v>5115</v>
      </c>
      <c r="H104" s="1" t="s">
        <v>5</v>
      </c>
      <c r="I104" s="1"/>
    </row>
    <row r="105" spans="2:9" x14ac:dyDescent="0.35">
      <c r="B105" s="2">
        <v>45622</v>
      </c>
      <c r="C105" s="3"/>
      <c r="D105" s="1"/>
      <c r="E105" s="3">
        <v>300</v>
      </c>
      <c r="F105" s="1"/>
      <c r="G105" s="11">
        <f t="shared" si="7"/>
        <v>4815</v>
      </c>
      <c r="H105" s="1" t="s">
        <v>63</v>
      </c>
      <c r="I105" s="1"/>
    </row>
    <row r="106" spans="2:9" x14ac:dyDescent="0.35">
      <c r="B106" s="9">
        <v>45317</v>
      </c>
      <c r="C106" s="7"/>
      <c r="D106" s="6"/>
      <c r="E106" s="7">
        <v>780</v>
      </c>
      <c r="F106" s="6"/>
      <c r="G106" s="7">
        <f t="shared" si="7"/>
        <v>4035</v>
      </c>
      <c r="H106" s="6" t="s">
        <v>64</v>
      </c>
      <c r="I106" s="6"/>
    </row>
    <row r="107" spans="2:9" x14ac:dyDescent="0.35">
      <c r="B107" s="1"/>
      <c r="C107" s="3"/>
      <c r="D107" s="1"/>
      <c r="E107" s="3">
        <v>1200</v>
      </c>
      <c r="F107" s="1"/>
      <c r="G107" s="11">
        <f t="shared" si="7"/>
        <v>2835</v>
      </c>
      <c r="H107" s="1" t="s">
        <v>5</v>
      </c>
      <c r="I107" s="1"/>
    </row>
    <row r="108" spans="2:9" x14ac:dyDescent="0.35">
      <c r="B108" s="19">
        <v>45624</v>
      </c>
      <c r="C108" s="11"/>
      <c r="D108" s="18"/>
      <c r="E108" s="11">
        <v>680</v>
      </c>
      <c r="F108" s="18"/>
      <c r="G108" s="11">
        <f t="shared" si="7"/>
        <v>2155</v>
      </c>
      <c r="H108" s="18" t="s">
        <v>65</v>
      </c>
      <c r="I108" s="19">
        <v>45623</v>
      </c>
    </row>
    <row r="109" spans="2:9" x14ac:dyDescent="0.35">
      <c r="B109" s="9">
        <v>45623</v>
      </c>
      <c r="C109" s="7"/>
      <c r="D109" s="6"/>
      <c r="E109" s="7">
        <v>200</v>
      </c>
      <c r="F109" s="6"/>
      <c r="G109" s="7">
        <f t="shared" si="7"/>
        <v>1955</v>
      </c>
      <c r="H109" s="6" t="s">
        <v>66</v>
      </c>
      <c r="I109" s="6"/>
    </row>
    <row r="110" spans="2:9" x14ac:dyDescent="0.35">
      <c r="B110" s="9">
        <v>45626</v>
      </c>
      <c r="C110" s="7"/>
      <c r="D110" s="6"/>
      <c r="E110" s="7">
        <v>300</v>
      </c>
      <c r="F110" s="6"/>
      <c r="G110" s="7">
        <f t="shared" si="7"/>
        <v>1655</v>
      </c>
      <c r="H110" s="6" t="s">
        <v>26</v>
      </c>
      <c r="I110" s="6"/>
    </row>
    <row r="111" spans="2:9" x14ac:dyDescent="0.35">
      <c r="B111" s="1"/>
      <c r="C111" s="3"/>
      <c r="D111" s="1"/>
      <c r="E111" s="3"/>
      <c r="F111" s="1"/>
      <c r="G111" s="3"/>
      <c r="H111" s="1"/>
      <c r="I111" s="1"/>
    </row>
    <row r="112" spans="2:9" x14ac:dyDescent="0.35">
      <c r="B112" s="1"/>
      <c r="C112" s="3"/>
      <c r="D112" s="1"/>
      <c r="E112" s="3"/>
      <c r="F112" s="1"/>
      <c r="G112" s="3">
        <v>1655</v>
      </c>
      <c r="H112" s="1"/>
      <c r="I112" s="1"/>
    </row>
    <row r="113" spans="2:12" x14ac:dyDescent="0.35">
      <c r="B113" s="2">
        <v>45627</v>
      </c>
      <c r="C113" s="3"/>
      <c r="D113" s="1"/>
      <c r="E113" s="3">
        <v>1040</v>
      </c>
      <c r="F113" s="1"/>
      <c r="G113" s="3">
        <f>(G112-E113)</f>
        <v>615</v>
      </c>
      <c r="H113" s="1" t="s">
        <v>5</v>
      </c>
      <c r="I113" s="1" t="s">
        <v>67</v>
      </c>
    </row>
    <row r="114" spans="2:12" x14ac:dyDescent="0.35">
      <c r="B114" s="2">
        <v>45631</v>
      </c>
      <c r="C114" s="3">
        <v>1790</v>
      </c>
      <c r="D114" s="1"/>
      <c r="E114" s="3"/>
      <c r="F114" s="1"/>
      <c r="G114" s="3">
        <f>(G113+C114)</f>
        <v>2405</v>
      </c>
      <c r="H114" s="1"/>
      <c r="I114" s="1"/>
    </row>
    <row r="115" spans="2:12" x14ac:dyDescent="0.35">
      <c r="B115" s="9">
        <v>45631</v>
      </c>
      <c r="C115" s="7"/>
      <c r="D115" s="6"/>
      <c r="E115" s="7">
        <v>500</v>
      </c>
      <c r="F115" s="6"/>
      <c r="G115" s="7">
        <f>(G114-E115)</f>
        <v>1905</v>
      </c>
      <c r="H115" s="6" t="s">
        <v>13</v>
      </c>
      <c r="I115" s="6"/>
    </row>
    <row r="116" spans="2:12" x14ac:dyDescent="0.35">
      <c r="B116" s="9">
        <v>45632</v>
      </c>
      <c r="C116" s="7"/>
      <c r="D116" s="6"/>
      <c r="E116" s="7">
        <v>210</v>
      </c>
      <c r="F116" s="6"/>
      <c r="G116" s="7">
        <f>(G115-E116)</f>
        <v>1695</v>
      </c>
      <c r="H116" s="6" t="s">
        <v>74</v>
      </c>
      <c r="I116" s="6"/>
    </row>
    <row r="117" spans="2:12" x14ac:dyDescent="0.35">
      <c r="B117" s="6"/>
      <c r="C117" s="7"/>
      <c r="D117" s="6"/>
      <c r="E117" s="7">
        <v>380</v>
      </c>
      <c r="F117" s="6"/>
      <c r="G117" s="7">
        <f t="shared" ref="G117:G119" si="8">(G116-E117)</f>
        <v>1315</v>
      </c>
      <c r="H117" s="6" t="s">
        <v>74</v>
      </c>
      <c r="I117" s="6"/>
    </row>
    <row r="118" spans="2:12" x14ac:dyDescent="0.35">
      <c r="B118" s="6"/>
      <c r="C118" s="7"/>
      <c r="D118" s="6"/>
      <c r="E118" s="7">
        <v>500</v>
      </c>
      <c r="F118" s="6"/>
      <c r="G118" s="7">
        <f t="shared" si="8"/>
        <v>815</v>
      </c>
      <c r="H118" s="6" t="s">
        <v>75</v>
      </c>
      <c r="I118" s="6"/>
    </row>
    <row r="119" spans="2:12" x14ac:dyDescent="0.35">
      <c r="B119" s="2">
        <v>45637</v>
      </c>
      <c r="C119" s="3"/>
      <c r="D119" s="1"/>
      <c r="E119" s="3">
        <v>500</v>
      </c>
      <c r="F119" s="1"/>
      <c r="G119" s="11">
        <f t="shared" si="8"/>
        <v>315</v>
      </c>
      <c r="H119" s="1" t="s">
        <v>63</v>
      </c>
      <c r="I119" s="1"/>
    </row>
    <row r="120" spans="2:12" x14ac:dyDescent="0.35">
      <c r="B120" s="2">
        <v>45638</v>
      </c>
      <c r="C120" s="3">
        <v>3000</v>
      </c>
      <c r="D120" s="1"/>
      <c r="E120" s="3"/>
      <c r="F120" s="1"/>
      <c r="G120" s="11">
        <f>(G119+C120)</f>
        <v>3315</v>
      </c>
      <c r="H120" s="1"/>
      <c r="I120" s="1"/>
    </row>
    <row r="121" spans="2:12" x14ac:dyDescent="0.35">
      <c r="B121" s="1"/>
      <c r="C121" s="3"/>
      <c r="D121" s="1"/>
      <c r="E121" s="3">
        <v>500</v>
      </c>
      <c r="F121" s="1"/>
      <c r="G121" s="3">
        <f>(G120-E121)</f>
        <v>2815</v>
      </c>
      <c r="H121" s="1" t="s">
        <v>38</v>
      </c>
      <c r="I121" s="1"/>
    </row>
    <row r="122" spans="2:12" x14ac:dyDescent="0.35">
      <c r="B122" s="9">
        <v>45638</v>
      </c>
      <c r="C122" s="7"/>
      <c r="D122" s="6"/>
      <c r="E122" s="7">
        <v>800</v>
      </c>
      <c r="F122" s="6"/>
      <c r="G122" s="7">
        <f>(G121-E122)</f>
        <v>2015</v>
      </c>
      <c r="H122" s="6" t="s">
        <v>77</v>
      </c>
      <c r="I122" s="6"/>
      <c r="L122" s="14"/>
    </row>
    <row r="123" spans="2:12" x14ac:dyDescent="0.35">
      <c r="B123" s="6"/>
      <c r="C123" s="7"/>
      <c r="D123" s="6"/>
      <c r="E123" s="7">
        <v>300</v>
      </c>
      <c r="F123" s="6"/>
      <c r="G123" s="7">
        <f>(G122-E123)</f>
        <v>1715</v>
      </c>
      <c r="H123" s="6" t="s">
        <v>78</v>
      </c>
      <c r="I123" s="6"/>
    </row>
    <row r="124" spans="2:12" x14ac:dyDescent="0.35">
      <c r="B124" s="6"/>
      <c r="C124" s="7"/>
      <c r="D124" s="6"/>
      <c r="E124" s="7">
        <v>770</v>
      </c>
      <c r="F124" s="6"/>
      <c r="G124" s="7">
        <f t="shared" ref="G124:G126" si="9">(G123-E124)</f>
        <v>945</v>
      </c>
      <c r="H124" s="6" t="s">
        <v>79</v>
      </c>
      <c r="I124" s="6"/>
    </row>
    <row r="125" spans="2:12" x14ac:dyDescent="0.35">
      <c r="B125" s="1"/>
      <c r="C125" s="3"/>
      <c r="D125" s="1"/>
      <c r="E125" s="3">
        <v>220</v>
      </c>
      <c r="F125" s="1"/>
      <c r="G125" s="11">
        <f t="shared" si="9"/>
        <v>725</v>
      </c>
      <c r="H125" s="1" t="s">
        <v>35</v>
      </c>
      <c r="I125" s="1"/>
    </row>
    <row r="126" spans="2:12" x14ac:dyDescent="0.35">
      <c r="B126" s="1"/>
      <c r="C126" s="3"/>
      <c r="D126" s="1"/>
      <c r="E126" s="3">
        <v>510</v>
      </c>
      <c r="F126" s="1"/>
      <c r="G126" s="11">
        <f t="shared" si="9"/>
        <v>215</v>
      </c>
      <c r="H126" s="1" t="s">
        <v>5</v>
      </c>
      <c r="I126" s="1"/>
    </row>
    <row r="127" spans="2:12" x14ac:dyDescent="0.35">
      <c r="B127" s="9">
        <v>45642</v>
      </c>
      <c r="C127" s="7">
        <v>75000</v>
      </c>
      <c r="D127" s="6"/>
      <c r="E127" s="7">
        <v>71480</v>
      </c>
      <c r="F127" s="6"/>
      <c r="G127" s="7">
        <f>(C127-E127)</f>
        <v>3520</v>
      </c>
      <c r="H127" s="7" t="s">
        <v>80</v>
      </c>
      <c r="I127" s="6"/>
    </row>
    <row r="128" spans="2:12" x14ac:dyDescent="0.35">
      <c r="B128" s="6"/>
      <c r="C128" s="7"/>
      <c r="D128" s="6"/>
      <c r="E128" s="7">
        <v>120</v>
      </c>
      <c r="F128" s="6"/>
      <c r="G128" s="7">
        <f>(G127-E128)</f>
        <v>3400</v>
      </c>
      <c r="H128" s="6" t="s">
        <v>81</v>
      </c>
      <c r="I128" s="6"/>
    </row>
    <row r="129" spans="2:9" x14ac:dyDescent="0.35">
      <c r="B129" s="6"/>
      <c r="C129" s="7"/>
      <c r="D129" s="6"/>
      <c r="E129" s="7">
        <v>280</v>
      </c>
      <c r="F129" s="6"/>
      <c r="G129" s="7">
        <f t="shared" ref="G129:G133" si="10">(G128-E129)</f>
        <v>3120</v>
      </c>
      <c r="H129" s="6" t="s">
        <v>82</v>
      </c>
      <c r="I129" s="6"/>
    </row>
    <row r="130" spans="2:9" x14ac:dyDescent="0.35">
      <c r="B130" s="6"/>
      <c r="C130" s="7"/>
      <c r="D130" s="6"/>
      <c r="E130" s="7">
        <v>280</v>
      </c>
      <c r="F130" s="6"/>
      <c r="G130" s="7">
        <f t="shared" si="10"/>
        <v>2840</v>
      </c>
      <c r="H130" s="6" t="s">
        <v>83</v>
      </c>
      <c r="I130" s="6"/>
    </row>
    <row r="131" spans="2:9" x14ac:dyDescent="0.35">
      <c r="B131" s="6"/>
      <c r="C131" s="7"/>
      <c r="D131" s="6"/>
      <c r="E131" s="7">
        <v>120</v>
      </c>
      <c r="F131" s="6"/>
      <c r="G131" s="7">
        <f t="shared" si="10"/>
        <v>2720</v>
      </c>
      <c r="H131" s="6" t="s">
        <v>84</v>
      </c>
      <c r="I131" s="6"/>
    </row>
    <row r="132" spans="2:9" x14ac:dyDescent="0.35">
      <c r="B132" s="6"/>
      <c r="C132" s="7"/>
      <c r="D132" s="6"/>
      <c r="E132" s="7">
        <v>700</v>
      </c>
      <c r="F132" s="6"/>
      <c r="G132" s="7">
        <f t="shared" si="10"/>
        <v>2020</v>
      </c>
      <c r="H132" s="6" t="s">
        <v>85</v>
      </c>
      <c r="I132" s="6"/>
    </row>
    <row r="133" spans="2:9" x14ac:dyDescent="0.35">
      <c r="B133" s="6"/>
      <c r="C133" s="7"/>
      <c r="D133" s="6"/>
      <c r="E133" s="7">
        <v>540</v>
      </c>
      <c r="F133" s="6"/>
      <c r="G133" s="7">
        <f t="shared" si="10"/>
        <v>1480</v>
      </c>
      <c r="H133" s="6" t="s">
        <v>86</v>
      </c>
      <c r="I133" s="6"/>
    </row>
    <row r="134" spans="2:9" x14ac:dyDescent="0.35">
      <c r="B134" s="1"/>
      <c r="C134" s="3"/>
      <c r="D134" s="1"/>
      <c r="E134" s="3">
        <v>1340</v>
      </c>
      <c r="F134" s="1"/>
      <c r="G134" s="11">
        <f>(G133-E134)</f>
        <v>140</v>
      </c>
      <c r="H134" s="1" t="s">
        <v>5</v>
      </c>
      <c r="I134" s="1"/>
    </row>
    <row r="135" spans="2:9" x14ac:dyDescent="0.35">
      <c r="B135" s="9">
        <v>45643</v>
      </c>
      <c r="C135" s="7"/>
      <c r="D135" s="6"/>
      <c r="E135" s="7">
        <v>1300</v>
      </c>
      <c r="F135" s="6"/>
      <c r="G135" s="7"/>
      <c r="H135" s="6" t="s">
        <v>87</v>
      </c>
      <c r="I135" s="6"/>
    </row>
    <row r="136" spans="2:9" x14ac:dyDescent="0.35">
      <c r="B136" s="1"/>
      <c r="C136" s="3"/>
      <c r="D136" s="1"/>
      <c r="E136" s="3">
        <v>1000</v>
      </c>
      <c r="F136" s="1"/>
      <c r="G136" s="11"/>
      <c r="H136" s="1" t="s">
        <v>88</v>
      </c>
      <c r="I136" s="1"/>
    </row>
    <row r="137" spans="2:9" x14ac:dyDescent="0.35">
      <c r="B137" s="9">
        <v>45644</v>
      </c>
      <c r="C137" s="7"/>
      <c r="D137" s="6"/>
      <c r="E137" s="7">
        <v>800</v>
      </c>
      <c r="F137" s="6"/>
      <c r="G137" s="7"/>
      <c r="H137" s="6" t="s">
        <v>96</v>
      </c>
      <c r="I137" s="6"/>
    </row>
    <row r="138" spans="2:9" x14ac:dyDescent="0.35">
      <c r="B138" s="9">
        <v>45646</v>
      </c>
      <c r="C138" s="7"/>
      <c r="D138" s="6"/>
      <c r="E138" s="7">
        <v>285</v>
      </c>
      <c r="F138" s="6"/>
      <c r="G138" s="7"/>
      <c r="H138" s="6" t="s">
        <v>94</v>
      </c>
      <c r="I138" s="6"/>
    </row>
    <row r="139" spans="2:9" x14ac:dyDescent="0.35">
      <c r="B139" s="1"/>
      <c r="C139" s="3"/>
      <c r="D139" s="1"/>
      <c r="E139" s="3"/>
      <c r="F139" s="1"/>
      <c r="G139" s="3"/>
      <c r="H139" s="1"/>
      <c r="I139" s="1"/>
    </row>
    <row r="140" spans="2:9" x14ac:dyDescent="0.35">
      <c r="B140" s="9">
        <v>45649</v>
      </c>
      <c r="C140" s="7"/>
      <c r="D140" s="6"/>
      <c r="E140" s="7">
        <v>2400</v>
      </c>
      <c r="F140" s="6"/>
      <c r="G140" s="7"/>
      <c r="H140" s="6" t="s">
        <v>89</v>
      </c>
      <c r="I140" s="6"/>
    </row>
    <row r="141" spans="2:9" x14ac:dyDescent="0.35">
      <c r="B141" s="6"/>
      <c r="C141" s="7"/>
      <c r="D141" s="6"/>
      <c r="E141" s="7">
        <v>2743</v>
      </c>
      <c r="F141" s="6"/>
      <c r="G141" s="7"/>
      <c r="H141" s="6" t="s">
        <v>95</v>
      </c>
      <c r="I141" s="6"/>
    </row>
    <row r="142" spans="2:9" x14ac:dyDescent="0.35">
      <c r="B142" s="2">
        <v>45650</v>
      </c>
      <c r="C142" s="3">
        <v>5000</v>
      </c>
      <c r="D142" s="1"/>
      <c r="E142" s="3">
        <v>440</v>
      </c>
      <c r="F142" s="1"/>
      <c r="G142" s="3">
        <f>(C142-E142)</f>
        <v>4560</v>
      </c>
      <c r="H142" s="1" t="s">
        <v>35</v>
      </c>
      <c r="I142" s="1"/>
    </row>
    <row r="143" spans="2:9" x14ac:dyDescent="0.35">
      <c r="B143" s="1"/>
      <c r="C143" s="3"/>
      <c r="D143" s="1"/>
      <c r="E143" s="3">
        <v>560</v>
      </c>
      <c r="F143" s="1"/>
      <c r="G143" s="3">
        <f>(G142-E143)</f>
        <v>4000</v>
      </c>
      <c r="H143" s="1" t="s">
        <v>90</v>
      </c>
      <c r="I143" s="1"/>
    </row>
    <row r="144" spans="2:9" x14ac:dyDescent="0.35">
      <c r="B144" s="1"/>
      <c r="C144" s="3"/>
      <c r="D144" s="1"/>
      <c r="E144" s="3">
        <v>240</v>
      </c>
      <c r="F144" s="1"/>
      <c r="G144" s="3">
        <f t="shared" ref="G144:G152" si="11">(G143-E144)</f>
        <v>3760</v>
      </c>
      <c r="H144" s="1" t="s">
        <v>6</v>
      </c>
      <c r="I144" s="1"/>
    </row>
    <row r="145" spans="2:9" x14ac:dyDescent="0.35">
      <c r="B145" s="6"/>
      <c r="C145" s="7"/>
      <c r="D145" s="6"/>
      <c r="E145" s="7">
        <v>460</v>
      </c>
      <c r="F145" s="6"/>
      <c r="G145" s="7">
        <f t="shared" si="11"/>
        <v>3300</v>
      </c>
      <c r="H145" s="7" t="s">
        <v>91</v>
      </c>
      <c r="I145" s="6"/>
    </row>
    <row r="146" spans="2:9" x14ac:dyDescent="0.35">
      <c r="B146" s="6"/>
      <c r="C146" s="7"/>
      <c r="D146" s="6"/>
      <c r="E146" s="7">
        <v>785</v>
      </c>
      <c r="F146" s="6"/>
      <c r="G146" s="7">
        <f t="shared" si="11"/>
        <v>2515</v>
      </c>
      <c r="H146" s="6" t="s">
        <v>92</v>
      </c>
      <c r="I146" s="6"/>
    </row>
    <row r="147" spans="2:9" x14ac:dyDescent="0.35">
      <c r="B147" s="6"/>
      <c r="C147" s="7"/>
      <c r="D147" s="6"/>
      <c r="E147" s="7">
        <v>800</v>
      </c>
      <c r="F147" s="6"/>
      <c r="G147" s="7">
        <f t="shared" si="11"/>
        <v>1715</v>
      </c>
      <c r="H147" s="6" t="s">
        <v>93</v>
      </c>
      <c r="I147" s="6"/>
    </row>
    <row r="148" spans="2:9" x14ac:dyDescent="0.35">
      <c r="B148" s="2">
        <v>45650</v>
      </c>
      <c r="C148" s="3"/>
      <c r="D148" s="1"/>
      <c r="E148" s="3">
        <v>320</v>
      </c>
      <c r="F148" s="1"/>
      <c r="G148" s="11">
        <f t="shared" si="11"/>
        <v>1395</v>
      </c>
      <c r="H148" s="1" t="s">
        <v>35</v>
      </c>
      <c r="I148" s="1"/>
    </row>
    <row r="149" spans="2:9" x14ac:dyDescent="0.35">
      <c r="B149" s="1"/>
      <c r="C149" s="3"/>
      <c r="D149" s="1"/>
      <c r="E149" s="3">
        <v>320</v>
      </c>
      <c r="F149" s="1"/>
      <c r="G149" s="11">
        <f t="shared" si="11"/>
        <v>1075</v>
      </c>
      <c r="H149" s="1" t="s">
        <v>5</v>
      </c>
      <c r="I149" s="1"/>
    </row>
    <row r="150" spans="2:9" x14ac:dyDescent="0.35">
      <c r="B150" s="6"/>
      <c r="C150" s="7"/>
      <c r="D150" s="6"/>
      <c r="E150" s="7">
        <v>400</v>
      </c>
      <c r="F150" s="6"/>
      <c r="G150" s="7">
        <f t="shared" si="11"/>
        <v>675</v>
      </c>
      <c r="H150" s="6" t="s">
        <v>97</v>
      </c>
      <c r="I150" s="6"/>
    </row>
    <row r="151" spans="2:9" x14ac:dyDescent="0.35">
      <c r="B151" s="1"/>
      <c r="C151" s="3"/>
      <c r="D151" s="1"/>
      <c r="E151" s="3">
        <v>270</v>
      </c>
      <c r="F151" s="1"/>
      <c r="G151" s="11">
        <f t="shared" si="11"/>
        <v>405</v>
      </c>
      <c r="H151" s="1" t="s">
        <v>35</v>
      </c>
      <c r="I151" s="2">
        <v>45656</v>
      </c>
    </row>
    <row r="152" spans="2:9" x14ac:dyDescent="0.35">
      <c r="B152" s="1"/>
      <c r="C152" s="3"/>
      <c r="D152" s="1"/>
      <c r="E152" s="3">
        <v>400</v>
      </c>
      <c r="F152" s="1"/>
      <c r="G152" s="11">
        <f t="shared" si="11"/>
        <v>5</v>
      </c>
      <c r="H152" s="1" t="s">
        <v>38</v>
      </c>
      <c r="I152" s="2">
        <v>45657</v>
      </c>
    </row>
    <row r="153" spans="2:9" x14ac:dyDescent="0.35">
      <c r="B153" s="2">
        <v>45657</v>
      </c>
      <c r="C153" s="3"/>
      <c r="D153" s="1"/>
      <c r="E153" s="3"/>
      <c r="F153" s="1"/>
      <c r="G153" s="3"/>
      <c r="H153" s="1" t="s">
        <v>98</v>
      </c>
      <c r="I153" s="1"/>
    </row>
    <row r="154" spans="2:9" x14ac:dyDescent="0.35">
      <c r="B154" s="1"/>
      <c r="C154" s="3">
        <v>22000</v>
      </c>
      <c r="D154" s="1"/>
      <c r="E154" s="3"/>
      <c r="F154" s="1"/>
      <c r="G154" s="3"/>
      <c r="H154" s="1" t="s">
        <v>99</v>
      </c>
      <c r="I154" s="1"/>
    </row>
    <row r="155" spans="2:9" x14ac:dyDescent="0.35">
      <c r="B155" s="1"/>
      <c r="C155" s="3"/>
      <c r="D155" s="1"/>
      <c r="E155" s="3">
        <v>3500</v>
      </c>
      <c r="F155" s="1"/>
      <c r="G155" s="3"/>
      <c r="H155" s="22" t="s">
        <v>100</v>
      </c>
      <c r="I155" s="1"/>
    </row>
    <row r="156" spans="2:9" x14ac:dyDescent="0.35">
      <c r="B156" s="1"/>
      <c r="C156" s="3"/>
      <c r="D156" s="1"/>
      <c r="E156" s="3">
        <v>2300</v>
      </c>
      <c r="F156" s="1"/>
      <c r="G156" s="3"/>
      <c r="H156" s="22" t="s">
        <v>103</v>
      </c>
      <c r="I156" s="1"/>
    </row>
    <row r="157" spans="2:9" x14ac:dyDescent="0.35">
      <c r="B157" s="1"/>
      <c r="C157" s="3"/>
      <c r="D157" s="1"/>
      <c r="E157" s="3">
        <v>500</v>
      </c>
      <c r="F157" s="1"/>
      <c r="G157" s="3"/>
      <c r="H157" s="22" t="s">
        <v>101</v>
      </c>
      <c r="I157" s="1"/>
    </row>
    <row r="158" spans="2:9" x14ac:dyDescent="0.35">
      <c r="B158" s="1"/>
      <c r="C158" s="3"/>
      <c r="D158" s="1"/>
      <c r="E158" s="3">
        <v>140</v>
      </c>
      <c r="F158" s="1"/>
      <c r="G158" s="3"/>
      <c r="H158" s="22" t="s">
        <v>102</v>
      </c>
      <c r="I158" s="1"/>
    </row>
    <row r="159" spans="2:9" x14ac:dyDescent="0.35">
      <c r="B159" s="1"/>
      <c r="C159" s="3"/>
      <c r="D159" s="1"/>
      <c r="E159" s="3"/>
      <c r="F159" s="1"/>
      <c r="G159" s="3"/>
      <c r="H159" s="22" t="s">
        <v>104</v>
      </c>
      <c r="I159" s="1"/>
    </row>
    <row r="160" spans="2:9" x14ac:dyDescent="0.35">
      <c r="B160" s="1"/>
      <c r="C160" s="3"/>
      <c r="D160" s="1"/>
      <c r="E160" s="3">
        <v>1120</v>
      </c>
      <c r="F160" s="1"/>
      <c r="G160" s="3"/>
      <c r="H160" s="1" t="s">
        <v>105</v>
      </c>
      <c r="I160" s="1"/>
    </row>
    <row r="161" spans="2:9" x14ac:dyDescent="0.35">
      <c r="B161" s="1"/>
      <c r="C161" s="3"/>
      <c r="D161" s="1"/>
      <c r="E161" s="3"/>
      <c r="F161" s="1"/>
      <c r="G161" s="3"/>
      <c r="H161" s="1"/>
      <c r="I161" s="1"/>
    </row>
    <row r="162" spans="2:9" x14ac:dyDescent="0.35">
      <c r="B162" s="1"/>
      <c r="C162" s="3"/>
      <c r="D162" s="1"/>
      <c r="E162" s="3"/>
      <c r="F162" s="1"/>
      <c r="G162" s="3"/>
      <c r="H162" s="1"/>
      <c r="I162" s="1"/>
    </row>
    <row r="163" spans="2:9" x14ac:dyDescent="0.35">
      <c r="B163" s="1"/>
      <c r="C163" s="3"/>
      <c r="D163" s="1"/>
      <c r="E163" s="3"/>
      <c r="F163" s="1"/>
      <c r="G163" s="3"/>
      <c r="H163" s="1"/>
      <c r="I163" s="1"/>
    </row>
  </sheetData>
  <mergeCells count="2">
    <mergeCell ref="H26:I26"/>
    <mergeCell ref="H27:I27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7479-A9B4-487C-9AE1-00072029F197}">
  <dimension ref="B2:G30"/>
  <sheetViews>
    <sheetView topLeftCell="A13" workbookViewId="0">
      <selection activeCell="H27" sqref="H27:H29"/>
    </sheetView>
  </sheetViews>
  <sheetFormatPr defaultRowHeight="14.5" x14ac:dyDescent="0.35"/>
  <cols>
    <col min="2" max="2" width="12.81640625" customWidth="1"/>
    <col min="3" max="3" width="12.81640625" style="14" customWidth="1"/>
    <col min="4" max="4" width="30.7265625" customWidth="1"/>
    <col min="5" max="5" width="14.81640625" style="14" customWidth="1"/>
    <col min="6" max="6" width="13.453125" style="14" customWidth="1"/>
  </cols>
  <sheetData>
    <row r="2" spans="2:6" x14ac:dyDescent="0.35">
      <c r="B2" s="15" t="s">
        <v>0</v>
      </c>
      <c r="C2" s="16" t="s">
        <v>1</v>
      </c>
      <c r="D2" s="15" t="s">
        <v>39</v>
      </c>
      <c r="E2" s="16"/>
      <c r="F2" s="17" t="s">
        <v>4</v>
      </c>
    </row>
    <row r="3" spans="2:6" x14ac:dyDescent="0.35">
      <c r="B3" s="1"/>
      <c r="C3" s="3"/>
      <c r="D3" s="1"/>
      <c r="E3" s="3"/>
      <c r="F3" s="3"/>
    </row>
    <row r="4" spans="2:6" x14ac:dyDescent="0.35">
      <c r="B4" s="2">
        <v>45602</v>
      </c>
      <c r="C4" s="3">
        <v>3400</v>
      </c>
      <c r="D4" s="1" t="s">
        <v>40</v>
      </c>
      <c r="E4" s="3"/>
      <c r="F4" s="3"/>
    </row>
    <row r="5" spans="2:6" x14ac:dyDescent="0.35">
      <c r="B5" s="2">
        <v>45603</v>
      </c>
      <c r="C5" s="3">
        <v>1963</v>
      </c>
      <c r="D5" s="1" t="s">
        <v>43</v>
      </c>
      <c r="E5" s="3"/>
      <c r="F5" s="3"/>
    </row>
    <row r="6" spans="2:6" x14ac:dyDescent="0.35">
      <c r="B6" s="2">
        <v>45608</v>
      </c>
      <c r="C6" s="3">
        <v>35000</v>
      </c>
      <c r="D6" s="1" t="s">
        <v>46</v>
      </c>
      <c r="E6" s="3">
        <v>250</v>
      </c>
      <c r="F6" s="3">
        <f>(C6-E6)</f>
        <v>34750</v>
      </c>
    </row>
    <row r="7" spans="2:6" x14ac:dyDescent="0.35">
      <c r="B7" s="1"/>
      <c r="C7" s="3"/>
      <c r="D7" s="1" t="s">
        <v>47</v>
      </c>
      <c r="E7" s="3">
        <v>660</v>
      </c>
      <c r="F7" s="3">
        <f>(F6-E7)</f>
        <v>34090</v>
      </c>
    </row>
    <row r="8" spans="2:6" x14ac:dyDescent="0.35">
      <c r="B8" s="1"/>
      <c r="C8" s="3"/>
      <c r="D8" s="1" t="s">
        <v>48</v>
      </c>
      <c r="E8" s="3">
        <v>480</v>
      </c>
      <c r="F8" s="3">
        <f>(F7-E8)</f>
        <v>33610</v>
      </c>
    </row>
    <row r="9" spans="2:6" x14ac:dyDescent="0.35">
      <c r="B9" s="1"/>
      <c r="C9" s="3"/>
      <c r="D9" s="1" t="s">
        <v>49</v>
      </c>
      <c r="E9" s="3">
        <v>2100</v>
      </c>
      <c r="F9" s="3">
        <f t="shared" ref="F9:F20" si="0">(F8-E9)</f>
        <v>31510</v>
      </c>
    </row>
    <row r="10" spans="2:6" x14ac:dyDescent="0.35">
      <c r="B10" s="1"/>
      <c r="C10" s="3"/>
      <c r="D10" s="1" t="s">
        <v>50</v>
      </c>
      <c r="E10" s="3">
        <v>420</v>
      </c>
      <c r="F10" s="3">
        <f t="shared" si="0"/>
        <v>31090</v>
      </c>
    </row>
    <row r="11" spans="2:6" x14ac:dyDescent="0.35">
      <c r="B11" s="1"/>
      <c r="C11" s="3"/>
      <c r="D11" s="1" t="s">
        <v>51</v>
      </c>
      <c r="E11" s="3">
        <v>2100</v>
      </c>
      <c r="F11" s="3">
        <f t="shared" si="0"/>
        <v>28990</v>
      </c>
    </row>
    <row r="12" spans="2:6" x14ac:dyDescent="0.35">
      <c r="B12" s="1"/>
      <c r="C12" s="3"/>
      <c r="D12" s="1" t="s">
        <v>52</v>
      </c>
      <c r="E12" s="3">
        <v>1800</v>
      </c>
      <c r="F12" s="3">
        <f t="shared" si="0"/>
        <v>27190</v>
      </c>
    </row>
    <row r="13" spans="2:6" x14ac:dyDescent="0.35">
      <c r="B13" s="1"/>
      <c r="C13" s="3"/>
      <c r="D13" s="1" t="s">
        <v>53</v>
      </c>
      <c r="E13" s="3">
        <v>600</v>
      </c>
      <c r="F13" s="3">
        <f t="shared" si="0"/>
        <v>26590</v>
      </c>
    </row>
    <row r="14" spans="2:6" x14ac:dyDescent="0.35">
      <c r="B14" s="1"/>
      <c r="C14" s="3"/>
      <c r="D14" s="1" t="s">
        <v>54</v>
      </c>
      <c r="E14" s="3">
        <v>4395</v>
      </c>
      <c r="F14" s="3">
        <f t="shared" si="0"/>
        <v>22195</v>
      </c>
    </row>
    <row r="15" spans="2:6" x14ac:dyDescent="0.35">
      <c r="B15" s="1"/>
      <c r="C15" s="3"/>
      <c r="D15" s="1" t="s">
        <v>55</v>
      </c>
      <c r="E15" s="3">
        <v>18180</v>
      </c>
      <c r="F15" s="3">
        <f t="shared" si="0"/>
        <v>4015</v>
      </c>
    </row>
    <row r="16" spans="2:6" x14ac:dyDescent="0.35">
      <c r="B16" s="1"/>
      <c r="C16" s="3"/>
      <c r="D16" s="1" t="s">
        <v>56</v>
      </c>
      <c r="E16" s="3">
        <v>2200</v>
      </c>
      <c r="F16" s="3">
        <f t="shared" si="0"/>
        <v>1815</v>
      </c>
    </row>
    <row r="17" spans="2:7" x14ac:dyDescent="0.35">
      <c r="B17" s="1"/>
      <c r="C17" s="3"/>
      <c r="D17" s="1" t="s">
        <v>57</v>
      </c>
      <c r="E17" s="3">
        <v>300</v>
      </c>
      <c r="F17" s="3">
        <f t="shared" si="0"/>
        <v>1515</v>
      </c>
    </row>
    <row r="18" spans="2:7" x14ac:dyDescent="0.35">
      <c r="B18" s="1"/>
      <c r="C18" s="3"/>
      <c r="D18" s="1" t="s">
        <v>59</v>
      </c>
      <c r="E18" s="3">
        <v>500</v>
      </c>
      <c r="F18" s="3">
        <f t="shared" si="0"/>
        <v>1015</v>
      </c>
    </row>
    <row r="19" spans="2:7" x14ac:dyDescent="0.35">
      <c r="B19" s="1"/>
      <c r="C19" s="3"/>
      <c r="D19" s="1" t="s">
        <v>58</v>
      </c>
      <c r="E19" s="3">
        <v>2000</v>
      </c>
      <c r="F19" s="3">
        <f t="shared" si="0"/>
        <v>-985</v>
      </c>
    </row>
    <row r="20" spans="2:7" x14ac:dyDescent="0.35">
      <c r="B20" s="1"/>
      <c r="C20" s="3"/>
      <c r="D20" s="1"/>
      <c r="E20" s="3"/>
      <c r="F20" s="3">
        <f t="shared" si="0"/>
        <v>-985</v>
      </c>
      <c r="G20" t="s">
        <v>60</v>
      </c>
    </row>
    <row r="21" spans="2:7" x14ac:dyDescent="0.35">
      <c r="B21" s="2">
        <v>44147</v>
      </c>
      <c r="C21" s="3">
        <v>10000</v>
      </c>
      <c r="D21" s="1"/>
      <c r="E21" s="3"/>
      <c r="F21" s="3"/>
    </row>
    <row r="22" spans="2:7" x14ac:dyDescent="0.35">
      <c r="B22" s="1"/>
      <c r="C22" s="3"/>
      <c r="D22" s="1"/>
      <c r="E22" s="3"/>
      <c r="F22" s="3"/>
    </row>
    <row r="23" spans="2:7" x14ac:dyDescent="0.35">
      <c r="B23" s="2">
        <v>45627</v>
      </c>
      <c r="C23" s="3"/>
      <c r="D23" s="1" t="s">
        <v>68</v>
      </c>
      <c r="E23" s="3">
        <v>3070</v>
      </c>
      <c r="F23" s="3" t="s">
        <v>69</v>
      </c>
    </row>
    <row r="24" spans="2:7" x14ac:dyDescent="0.35">
      <c r="B24" s="2">
        <v>45630</v>
      </c>
      <c r="C24" s="3"/>
      <c r="D24" s="1" t="s">
        <v>70</v>
      </c>
      <c r="E24" s="3">
        <v>2500</v>
      </c>
      <c r="F24" s="3"/>
    </row>
    <row r="25" spans="2:7" x14ac:dyDescent="0.35">
      <c r="B25" s="1"/>
      <c r="C25" s="3"/>
      <c r="D25" s="1" t="s">
        <v>71</v>
      </c>
      <c r="E25" s="3">
        <v>2000</v>
      </c>
      <c r="F25" s="3"/>
    </row>
    <row r="26" spans="2:7" x14ac:dyDescent="0.35">
      <c r="B26" s="1"/>
      <c r="C26" s="3"/>
      <c r="D26" s="1" t="s">
        <v>76</v>
      </c>
      <c r="E26" s="3">
        <v>100</v>
      </c>
      <c r="F26" s="3"/>
    </row>
    <row r="27" spans="2:7" x14ac:dyDescent="0.35">
      <c r="B27" s="1"/>
      <c r="C27" s="3"/>
      <c r="D27" s="1" t="s">
        <v>72</v>
      </c>
      <c r="E27" s="3">
        <v>1110</v>
      </c>
      <c r="F27" s="3"/>
    </row>
    <row r="28" spans="2:7" x14ac:dyDescent="0.35">
      <c r="B28" s="1"/>
      <c r="C28" s="3"/>
      <c r="D28" s="1" t="s">
        <v>73</v>
      </c>
      <c r="E28" s="3">
        <v>9275</v>
      </c>
      <c r="F28" s="3"/>
    </row>
    <row r="29" spans="2:7" x14ac:dyDescent="0.35">
      <c r="B29" s="1"/>
      <c r="C29" s="3"/>
      <c r="D29" s="18"/>
      <c r="E29" s="11"/>
      <c r="F29" s="3"/>
    </row>
    <row r="30" spans="2:7" x14ac:dyDescent="0.35">
      <c r="B30" s="1"/>
      <c r="C30" s="3"/>
      <c r="D30" s="1"/>
      <c r="E30" s="3"/>
      <c r="F30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NDB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Daily Foods</dc:creator>
  <cp:lastModifiedBy>Your Daily Foods</cp:lastModifiedBy>
  <dcterms:created xsi:type="dcterms:W3CDTF">2015-06-05T18:17:20Z</dcterms:created>
  <dcterms:modified xsi:type="dcterms:W3CDTF">2025-01-02T04:53:57Z</dcterms:modified>
</cp:coreProperties>
</file>